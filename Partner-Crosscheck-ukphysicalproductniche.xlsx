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Executive Summary" sheetId="1" state="visible" r:id="rId1"/>
    <sheet name="Opportunity Scorecard" sheetId="2" state="visible" r:id="rId2"/>
    <sheet name="Weights &amp; Method" sheetId="3" state="visible" r:id="rId3"/>
    <sheet name="Supplier Gate" sheetId="4" state="visible" r:id="rId4"/>
    <sheet name="Shortlist Deep Dives" sheetId="5" state="visible" r:id="rId5"/>
    <sheet name="Freediving Deep Dive" sheetId="6" state="visible" r:id="rId6"/>
    <sheet name="Keyword Validation" sheetId="7" state="visible" r:id="rId7"/>
    <sheet name="Unit Economics" sheetId="8" state="visible" r:id="rId8"/>
    <sheet name="90-Day Validation" sheetId="9" state="visible" r:id="rId9"/>
    <sheet name="Sources" sheetId="10" state="visible" r:id="rId10"/>
    <sheet name="Live SERP Cross-Check" sheetId="11" state="visible" r:id="rId11"/>
  </sheets>
  <definedNames/>
</workbook>
</file>

<file path=xl/styles.xml><?xml version="1.0" encoding="utf-8"?>
<styleSheet xmlns="http://schemas.openxmlformats.org/spreadsheetml/2006/main">
  <numFmts count="5">
    <numFmt numFmtId="164" formatCode="0.0"/>
    <numFmt numFmtId="165" formatCode="£0.00"/>
    <numFmt numFmtId="166" formatCode="£#,##0"/>
    <numFmt numFmtId="167" formatCode="0.0%"/>
    <numFmt numFmtId="168" formatCode="yyyy-mm-dd"/>
  </numFmts>
  <fonts count="24">
    <font>
      <name val="Carlito"/>
      <sz val="11"/>
    </font>
    <font>
      <name val="Carlito"/>
      <b val="1"/>
      <color rgb="FFFFFFFF"/>
      <sz val="18"/>
    </font>
    <font>
      <name val="Carlito"/>
      <i val="1"/>
      <color rgb="FFDDE9F6"/>
      <sz val="10"/>
    </font>
    <font>
      <name val="Carlito"/>
      <b val="1"/>
      <color rgb="FFFFFFFF"/>
      <sz val="12"/>
    </font>
    <font>
      <name val="Carlito"/>
      <b val="1"/>
      <color rgb="FF172033"/>
      <sz val="12"/>
    </font>
    <font>
      <name val="Carlito"/>
      <color rgb="FF172033"/>
      <sz val="11"/>
    </font>
    <font>
      <name val="Carlito"/>
      <b val="1"/>
      <color rgb="FFFFFFFF"/>
      <sz val="11"/>
    </font>
    <font>
      <name val="Carlito"/>
      <color rgb="FF172033"/>
      <sz val="10"/>
    </font>
    <font>
      <name val="Carlito"/>
      <b val="1"/>
      <color rgb="FF2563EB"/>
      <sz val="10"/>
    </font>
    <font>
      <name val="Carlito"/>
      <b val="1"/>
      <color rgb="FF172033"/>
      <sz val="11"/>
    </font>
    <font>
      <name val="Carlito"/>
      <b val="1"/>
      <color rgb="FF172033"/>
      <sz val="10"/>
    </font>
    <font>
      <name val="Carlito"/>
      <i val="1"/>
      <color rgb="FF172033"/>
      <sz val="11"/>
    </font>
    <font>
      <name val="Carlito"/>
      <b val="1"/>
      <color rgb="FFB91C1C"/>
      <sz val="10"/>
    </font>
    <font>
      <name val="Aptos"/>
      <b val="1"/>
      <color rgb="FF172033"/>
      <sz val="10"/>
    </font>
    <font>
      <name val="Aptos"/>
      <i val="1"/>
      <color rgb="FF172033"/>
      <sz val="10"/>
    </font>
    <font>
      <name val="Aptos"/>
      <color rgb="FF172033"/>
      <sz val="10"/>
    </font>
    <font>
      <name val="Aptos Display"/>
      <b val="1"/>
      <color rgb="FFFFFFFF"/>
      <sz val="18"/>
    </font>
    <font>
      <name val="Aptos"/>
      <i val="1"/>
      <color rgb="FFDDE9F6"/>
      <sz val="10"/>
    </font>
    <font>
      <name val="Aptos"/>
      <b val="1"/>
      <color rgb="FFFFFFFF"/>
      <sz val="10"/>
    </font>
    <font>
      <name val="Arial"/>
      <b val="1"/>
      <color rgb="001F3864"/>
      <sz val="13"/>
    </font>
    <font>
      <name val="Arial"/>
      <sz val="10"/>
    </font>
    <font>
      <name val="Arial"/>
      <b val="1"/>
      <sz val="10"/>
    </font>
    <font>
      <name val="Arial"/>
      <b val="1"/>
      <color rgb="001F3864"/>
      <sz val="11"/>
    </font>
    <font>
      <name val="Arial"/>
      <b val="1"/>
      <color rgb="00FFFFFF"/>
      <sz val="10"/>
    </font>
  </fonts>
  <fills count="16">
    <fill>
      <patternFill/>
    </fill>
    <fill>
      <patternFill patternType="gray125"/>
    </fill>
    <fill>
      <patternFill patternType="solid">
        <fgColor rgb="FF0B1F33"/>
      </patternFill>
    </fill>
    <fill>
      <patternFill patternType="solid">
        <fgColor rgb="FF16324F"/>
      </patternFill>
    </fill>
    <fill>
      <patternFill patternType="solid">
        <fgColor rgb="FF0F766E"/>
      </patternFill>
    </fill>
    <fill>
      <patternFill patternType="solid">
        <fgColor rgb="FFE7F6F3"/>
      </patternFill>
    </fill>
    <fill>
      <patternFill patternType="solid">
        <fgColor rgb="FFB91C1C"/>
      </patternFill>
    </fill>
    <fill>
      <patternFill patternType="solid">
        <fgColor rgb="FFFDEBEC"/>
      </patternFill>
    </fill>
    <fill>
      <patternFill patternType="solid">
        <fgColor rgb="FF2563EB"/>
      </patternFill>
    </fill>
    <fill>
      <patternFill patternType="solid">
        <fgColor rgb="FFEAF2FF"/>
      </patternFill>
    </fill>
    <fill>
      <patternFill patternType="solid">
        <fgColor rgb="FFD97706"/>
      </patternFill>
    </fill>
    <fill>
      <patternFill patternType="solid">
        <fgColor rgb="FFFFF4D6"/>
      </patternFill>
    </fill>
    <fill>
      <patternFill patternType="solid">
        <fgColor rgb="00FDEDEC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1F3864"/>
      </patternFill>
    </fill>
  </fills>
  <borders count="34">
    <border/>
    <border>
      <left style="medium">
        <color rgb="FF0F766E"/>
      </left>
      <top style="medium">
        <color rgb="FF0F766E"/>
      </top>
    </border>
    <border>
      <top style="medium">
        <color rgb="FF0F766E"/>
      </top>
    </border>
    <border>
      <right style="medium">
        <color rgb="FF0F766E"/>
      </right>
      <top style="medium">
        <color rgb="FF0F766E"/>
      </top>
    </border>
    <border>
      <left style="medium">
        <color rgb="FF0F766E"/>
      </left>
    </border>
    <border>
      <right style="medium">
        <color rgb="FF0F766E"/>
      </right>
    </border>
    <border>
      <left style="medium">
        <color rgb="FF0F766E"/>
      </left>
      <bottom style="medium">
        <color rgb="FF0F766E"/>
      </bottom>
    </border>
    <border>
      <bottom style="medium">
        <color rgb="FF0F766E"/>
      </bottom>
    </border>
    <border>
      <right style="medium">
        <color rgb="FF0F766E"/>
      </right>
      <bottom style="medium">
        <color rgb="FF0F766E"/>
      </bottom>
    </border>
    <border>
      <left style="medium">
        <color rgb="FFB91C1C"/>
      </left>
      <top style="medium">
        <color rgb="FFB91C1C"/>
      </top>
    </border>
    <border>
      <top style="medium">
        <color rgb="FFB91C1C"/>
      </top>
    </border>
    <border>
      <right style="medium">
        <color rgb="FFB91C1C"/>
      </right>
      <top style="medium">
        <color rgb="FFB91C1C"/>
      </top>
    </border>
    <border>
      <left style="medium">
        <color rgb="FFB91C1C"/>
      </left>
    </border>
    <border>
      <right style="medium">
        <color rgb="FFB91C1C"/>
      </right>
    </border>
    <border>
      <left style="medium">
        <color rgb="FFB91C1C"/>
      </left>
      <bottom style="medium">
        <color rgb="FFB91C1C"/>
      </bottom>
    </border>
    <border>
      <bottom style="medium">
        <color rgb="FFB91C1C"/>
      </bottom>
    </border>
    <border>
      <right style="medium">
        <color rgb="FFB91C1C"/>
      </right>
      <bottom style="medium">
        <color rgb="FFB91C1C"/>
      </bottom>
    </border>
    <border>
      <left style="thin">
        <color rgb="FFD7DEE7"/>
      </left>
      <right style="thin">
        <color rgb="FFD7DEE7"/>
      </right>
      <top style="thin">
        <color rgb="FFD7DEE7"/>
      </top>
      <bottom style="thin">
        <color rgb="FFD7DEE7"/>
      </bottom>
    </border>
    <border>
      <left style="medium">
        <color rgb="FF0F766E"/>
      </left>
      <right style="medium">
        <color rgb="FF0F766E"/>
      </right>
      <top style="medium">
        <color rgb="FF0F766E"/>
      </top>
      <bottom style="medium">
        <color rgb="FF0F766E"/>
      </bottom>
    </border>
    <border>
      <left style="medium">
        <color rgb="FFD97706"/>
      </left>
      <top style="medium">
        <color rgb="FFD97706"/>
      </top>
    </border>
    <border>
      <top style="medium">
        <color rgb="FFD97706"/>
      </top>
    </border>
    <border>
      <right style="medium">
        <color rgb="FFD97706"/>
      </right>
      <top style="medium">
        <color rgb="FFD97706"/>
      </top>
    </border>
    <border>
      <left style="medium">
        <color rgb="FFD97706"/>
      </left>
    </border>
    <border>
      <right style="medium">
        <color rgb="FFD97706"/>
      </right>
    </border>
    <border>
      <left style="medium">
        <color rgb="FFD97706"/>
      </left>
      <bottom style="medium">
        <color rgb="FFD97706"/>
      </bottom>
    </border>
    <border>
      <bottom style="medium">
        <color rgb="FFD97706"/>
      </bottom>
    </border>
    <border>
      <right style="medium">
        <color rgb="FFD97706"/>
      </right>
      <bottom style="medium">
        <color rgb="FFD97706"/>
      </bottom>
    </border>
    <border>
      <left style="medium">
        <color rgb="FFB91C1C"/>
      </left>
      <right style="medium">
        <color rgb="FFB91C1C"/>
      </right>
      <top style="medium">
        <color rgb="FFB91C1C"/>
      </top>
      <bottom style="medium">
        <color rgb="FFB91C1C"/>
      </bottom>
    </border>
    <border>
      <top style="thin">
        <color rgb="FFD7DEE7"/>
      </top>
    </border>
    <border>
      <right style="thin">
        <color rgb="FFD7DEE7"/>
      </right>
      <top style="thin">
        <color rgb="FFD7DEE7"/>
      </top>
    </border>
    <border>
      <right style="thin">
        <color rgb="FFD7DEE7"/>
      </right>
      <top style="thin">
        <color rgb="FFD7DEE7"/>
      </top>
      <bottom style="thin">
        <color rgb="FFD7DEE7"/>
      </bottom>
    </border>
    <border>
      <top style="thin">
        <color rgb="FFD7DEE7"/>
      </top>
      <bottom style="thin">
        <color rgb="FFD7DEE7"/>
      </bottom>
    </border>
    <border>
      <left style="medium">
        <color rgb="FFD97706"/>
      </left>
      <right style="medium">
        <color rgb="FFD97706"/>
      </right>
      <top style="medium">
        <color rgb="FFD97706"/>
      </top>
      <bottom style="medium">
        <color rgb="FFD97706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8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vertical="center"/>
    </xf>
    <xf numFmtId="0" fontId="0" fillId="5" borderId="0" pivotButton="0" quotePrefix="0" xfId="0"/>
    <xf numFmtId="0" fontId="4" fillId="5" borderId="0" pivotButton="0" quotePrefix="0" xfId="0"/>
    <xf numFmtId="0" fontId="4" fillId="5" borderId="1" pivotButton="0" quotePrefix="0" xfId="0"/>
    <xf numFmtId="0" fontId="4" fillId="5" borderId="2" pivotButton="0" quotePrefix="0" xfId="0"/>
    <xf numFmtId="0" fontId="4" fillId="5" borderId="3" pivotButton="0" quotePrefix="0" xfId="0"/>
    <xf numFmtId="0" fontId="4" fillId="5" borderId="4" pivotButton="0" quotePrefix="0" xfId="0"/>
    <xf numFmtId="0" fontId="4" fillId="5" borderId="5" pivotButton="0" quotePrefix="0" xfId="0"/>
    <xf numFmtId="0" fontId="4" fillId="5" borderId="6" pivotButton="0" quotePrefix="0" xfId="0"/>
    <xf numFmtId="0" fontId="4" fillId="5" borderId="7" pivotButton="0" quotePrefix="0" xfId="0"/>
    <xf numFmtId="0" fontId="4" fillId="5" borderId="8" pivotButton="0" quotePrefix="0" xfId="0"/>
    <xf numFmtId="0" fontId="4" fillId="5" borderId="1" applyAlignment="1" pivotButton="0" quotePrefix="0" xfId="0">
      <alignment wrapText="1"/>
    </xf>
    <xf numFmtId="0" fontId="4" fillId="5" borderId="2" applyAlignment="1" pivotButton="0" quotePrefix="0" xfId="0">
      <alignment wrapText="1"/>
    </xf>
    <xf numFmtId="0" fontId="4" fillId="5" borderId="3" applyAlignment="1" pivotButton="0" quotePrefix="0" xfId="0">
      <alignment wrapText="1"/>
    </xf>
    <xf numFmtId="0" fontId="4" fillId="5" borderId="4" applyAlignment="1" pivotButton="0" quotePrefix="0" xfId="0">
      <alignment wrapText="1"/>
    </xf>
    <xf numFmtId="0" fontId="4" fillId="5" borderId="0" applyAlignment="1" pivotButton="0" quotePrefix="0" xfId="0">
      <alignment wrapText="1"/>
    </xf>
    <xf numFmtId="0" fontId="4" fillId="5" borderId="5" applyAlignment="1" pivotButton="0" quotePrefix="0" xfId="0">
      <alignment wrapText="1"/>
    </xf>
    <xf numFmtId="0" fontId="4" fillId="5" borderId="6" applyAlignment="1" pivotButton="0" quotePrefix="0" xfId="0">
      <alignment wrapText="1"/>
    </xf>
    <xf numFmtId="0" fontId="4" fillId="5" borderId="7" applyAlignment="1" pivotButton="0" quotePrefix="0" xfId="0">
      <alignment wrapText="1"/>
    </xf>
    <xf numFmtId="0" fontId="4" fillId="5" borderId="8" applyAlignment="1" pivotButton="0" quotePrefix="0" xfId="0">
      <alignment wrapText="1"/>
    </xf>
    <xf numFmtId="0" fontId="4" fillId="5" borderId="1" applyAlignment="1" pivotButton="0" quotePrefix="0" xfId="0">
      <alignment vertical="center" wrapText="1"/>
    </xf>
    <xf numFmtId="0" fontId="4" fillId="5" borderId="2" applyAlignment="1" pivotButton="0" quotePrefix="0" xfId="0">
      <alignment vertical="center" wrapText="1"/>
    </xf>
    <xf numFmtId="0" fontId="4" fillId="5" borderId="3" applyAlignment="1" pivotButton="0" quotePrefix="0" xfId="0">
      <alignment vertical="center" wrapText="1"/>
    </xf>
    <xf numFmtId="0" fontId="4" fillId="5" borderId="4" applyAlignment="1" pivotButton="0" quotePrefix="0" xfId="0">
      <alignment vertical="center" wrapText="1"/>
    </xf>
    <xf numFmtId="0" fontId="4" fillId="5" borderId="0" applyAlignment="1" pivotButton="0" quotePrefix="0" xfId="0">
      <alignment vertical="center" wrapText="1"/>
    </xf>
    <xf numFmtId="0" fontId="4" fillId="5" borderId="5" applyAlignment="1" pivotButton="0" quotePrefix="0" xfId="0">
      <alignment vertical="center" wrapText="1"/>
    </xf>
    <xf numFmtId="0" fontId="4" fillId="5" borderId="6" applyAlignment="1" pivotButton="0" quotePrefix="0" xfId="0">
      <alignment vertical="center" wrapText="1"/>
    </xf>
    <xf numFmtId="0" fontId="4" fillId="5" borderId="7" applyAlignment="1" pivotButton="0" quotePrefix="0" xfId="0">
      <alignment vertical="center" wrapText="1"/>
    </xf>
    <xf numFmtId="0" fontId="4" fillId="5" borderId="8" applyAlignment="1" pivotButton="0" quotePrefix="0" xfId="0">
      <alignment vertical="center" wrapText="1"/>
    </xf>
    <xf numFmtId="0" fontId="0" fillId="6" borderId="0" pivotButton="0" quotePrefix="0" xfId="0"/>
    <xf numFmtId="0" fontId="3" fillId="6" borderId="0" pivotButton="0" quotePrefix="0" xfId="0"/>
    <xf numFmtId="0" fontId="3" fillId="6" borderId="0" applyAlignment="1" pivotButton="0" quotePrefix="0" xfId="0">
      <alignment vertical="center"/>
    </xf>
    <xf numFmtId="0" fontId="0" fillId="7" borderId="0" pivotButton="0" quotePrefix="0" xfId="0"/>
    <xf numFmtId="0" fontId="5" fillId="7" borderId="0" pivotButton="0" quotePrefix="0" xfId="0"/>
    <xf numFmtId="0" fontId="5" fillId="7" borderId="9" pivotButton="0" quotePrefix="0" xfId="0"/>
    <xf numFmtId="0" fontId="5" fillId="7" borderId="10" pivotButton="0" quotePrefix="0" xfId="0"/>
    <xf numFmtId="0" fontId="5" fillId="7" borderId="11" pivotButton="0" quotePrefix="0" xfId="0"/>
    <xf numFmtId="0" fontId="5" fillId="7" borderId="12" pivotButton="0" quotePrefix="0" xfId="0"/>
    <xf numFmtId="0" fontId="5" fillId="7" borderId="13" pivotButton="0" quotePrefix="0" xfId="0"/>
    <xf numFmtId="0" fontId="5" fillId="7" borderId="14" pivotButton="0" quotePrefix="0" xfId="0"/>
    <xf numFmtId="0" fontId="5" fillId="7" borderId="15" pivotButton="0" quotePrefix="0" xfId="0"/>
    <xf numFmtId="0" fontId="5" fillId="7" borderId="16" pivotButton="0" quotePrefix="0" xfId="0"/>
    <xf numFmtId="0" fontId="5" fillId="7" borderId="9" applyAlignment="1" pivotButton="0" quotePrefix="0" xfId="0">
      <alignment wrapText="1"/>
    </xf>
    <xf numFmtId="0" fontId="5" fillId="7" borderId="10" applyAlignment="1" pivotButton="0" quotePrefix="0" xfId="0">
      <alignment wrapText="1"/>
    </xf>
    <xf numFmtId="0" fontId="5" fillId="7" borderId="11" applyAlignment="1" pivotButton="0" quotePrefix="0" xfId="0">
      <alignment wrapText="1"/>
    </xf>
    <xf numFmtId="0" fontId="5" fillId="7" borderId="12" applyAlignment="1" pivotButton="0" quotePrefix="0" xfId="0">
      <alignment wrapText="1"/>
    </xf>
    <xf numFmtId="0" fontId="5" fillId="7" borderId="0" applyAlignment="1" pivotButton="0" quotePrefix="0" xfId="0">
      <alignment wrapText="1"/>
    </xf>
    <xf numFmtId="0" fontId="5" fillId="7" borderId="13" applyAlignment="1" pivotButton="0" quotePrefix="0" xfId="0">
      <alignment wrapText="1"/>
    </xf>
    <xf numFmtId="0" fontId="5" fillId="7" borderId="14" applyAlignment="1" pivotButton="0" quotePrefix="0" xfId="0">
      <alignment wrapText="1"/>
    </xf>
    <xf numFmtId="0" fontId="5" fillId="7" borderId="15" applyAlignment="1" pivotButton="0" quotePrefix="0" xfId="0">
      <alignment wrapText="1"/>
    </xf>
    <xf numFmtId="0" fontId="5" fillId="7" borderId="16" applyAlignment="1" pivotButton="0" quotePrefix="0" xfId="0">
      <alignment wrapText="1"/>
    </xf>
    <xf numFmtId="0" fontId="5" fillId="7" borderId="9" applyAlignment="1" pivotButton="0" quotePrefix="0" xfId="0">
      <alignment vertical="center" wrapText="1"/>
    </xf>
    <xf numFmtId="0" fontId="5" fillId="7" borderId="10" applyAlignment="1" pivotButton="0" quotePrefix="0" xfId="0">
      <alignment vertical="center" wrapText="1"/>
    </xf>
    <xf numFmtId="0" fontId="5" fillId="7" borderId="11" applyAlignment="1" pivotButton="0" quotePrefix="0" xfId="0">
      <alignment vertical="center" wrapText="1"/>
    </xf>
    <xf numFmtId="0" fontId="5" fillId="7" borderId="12" applyAlignment="1" pivotButton="0" quotePrefix="0" xfId="0">
      <alignment vertical="center" wrapText="1"/>
    </xf>
    <xf numFmtId="0" fontId="5" fillId="7" borderId="0" applyAlignment="1" pivotButton="0" quotePrefix="0" xfId="0">
      <alignment vertical="center" wrapText="1"/>
    </xf>
    <xf numFmtId="0" fontId="5" fillId="7" borderId="13" applyAlignment="1" pivotButton="0" quotePrefix="0" xfId="0">
      <alignment vertical="center" wrapText="1"/>
    </xf>
    <xf numFmtId="0" fontId="5" fillId="7" borderId="14" applyAlignment="1" pivotButton="0" quotePrefix="0" xfId="0">
      <alignment vertical="center" wrapText="1"/>
    </xf>
    <xf numFmtId="0" fontId="5" fillId="7" borderId="15" applyAlignment="1" pivotButton="0" quotePrefix="0" xfId="0">
      <alignment vertical="center" wrapText="1"/>
    </xf>
    <xf numFmtId="0" fontId="5" fillId="7" borderId="16" applyAlignment="1" pivotButton="0" quotePrefix="0" xfId="0">
      <alignment vertical="center" wrapText="1"/>
    </xf>
    <xf numFmtId="0" fontId="0" fillId="8" borderId="0" pivotButton="0" quotePrefix="0" xfId="0"/>
    <xf numFmtId="0" fontId="3" fillId="8" borderId="0" pivotButton="0" quotePrefix="0" xfId="0"/>
    <xf numFmtId="0" fontId="3" fillId="8" borderId="0" applyAlignment="1" pivotButton="0" quotePrefix="0" xfId="0">
      <alignment vertical="center"/>
    </xf>
    <xf numFmtId="0" fontId="6" fillId="8" borderId="0" pivotButton="0" quotePrefix="0" xfId="0"/>
    <xf numFmtId="0" fontId="6" fillId="8" borderId="17" pivotButton="0" quotePrefix="0" xfId="0"/>
    <xf numFmtId="0" fontId="6" fillId="8" borderId="17" applyAlignment="1" pivotButton="0" quotePrefix="0" xfId="0">
      <alignment wrapText="1"/>
    </xf>
    <xf numFmtId="0" fontId="6" fillId="8" borderId="17" applyAlignment="1" pivotButton="0" quotePrefix="0" xfId="0">
      <alignment vertical="center" wrapText="1"/>
    </xf>
    <xf numFmtId="0" fontId="7" fillId="0" borderId="0" pivotButton="0" quotePrefix="0" xfId="0"/>
    <xf numFmtId="0" fontId="7" fillId="0" borderId="17" pivotButton="0" quotePrefix="0" xfId="0"/>
    <xf numFmtId="0" fontId="7" fillId="0" borderId="17" applyAlignment="1" pivotButton="0" quotePrefix="0" xfId="0">
      <alignment wrapText="1"/>
    </xf>
    <xf numFmtId="0" fontId="7" fillId="0" borderId="17" applyAlignment="1" pivotButton="0" quotePrefix="0" xfId="0">
      <alignment vertical="top" wrapText="1"/>
    </xf>
    <xf numFmtId="0" fontId="7" fillId="9" borderId="17" applyAlignment="1" pivotButton="0" quotePrefix="0" xfId="0">
      <alignment vertical="top" wrapText="1"/>
    </xf>
    <xf numFmtId="0" fontId="8" fillId="9" borderId="17" applyAlignment="1" pivotButton="0" quotePrefix="0" xfId="0">
      <alignment vertical="top" wrapText="1"/>
    </xf>
    <xf numFmtId="0" fontId="8" fillId="9" borderId="17" applyAlignment="1" pivotButton="0" quotePrefix="0" xfId="0">
      <alignment horizontal="center" vertical="top" wrapText="1"/>
    </xf>
    <xf numFmtId="0" fontId="8" fillId="9" borderId="17" applyAlignment="1" pivotButton="0" quotePrefix="0" xfId="0">
      <alignment horizontal="center" vertical="center" wrapText="1"/>
    </xf>
    <xf numFmtId="0" fontId="6" fillId="4" borderId="0" pivotButton="0" quotePrefix="0" xfId="0"/>
    <xf numFmtId="0" fontId="6" fillId="4" borderId="17" pivotButton="0" quotePrefix="0" xfId="0"/>
    <xf numFmtId="0" fontId="6" fillId="4" borderId="17" applyAlignment="1" pivotButton="0" quotePrefix="0" xfId="0">
      <alignment wrapText="1"/>
    </xf>
    <xf numFmtId="0" fontId="6" fillId="4" borderId="17" applyAlignment="1" pivotButton="0" quotePrefix="0" xfId="0">
      <alignment vertical="center" wrapText="1"/>
    </xf>
    <xf numFmtId="164" fontId="7" fillId="0" borderId="17" applyAlignment="1" pivotButton="0" quotePrefix="0" xfId="0">
      <alignment vertical="top" wrapText="1"/>
    </xf>
    <xf numFmtId="1" fontId="7" fillId="0" borderId="17" applyAlignment="1" pivotButton="0" quotePrefix="0" xfId="0">
      <alignment vertical="top" wrapText="1"/>
    </xf>
    <xf numFmtId="0" fontId="9" fillId="5" borderId="0" pivotButton="0" quotePrefix="0" xfId="0"/>
    <xf numFmtId="0" fontId="9" fillId="5" borderId="18" pivotButton="0" quotePrefix="0" xfId="0"/>
    <xf numFmtId="0" fontId="10" fillId="0" borderId="17" applyAlignment="1" pivotButton="0" quotePrefix="0" xfId="0">
      <alignment vertical="top" wrapText="1"/>
    </xf>
    <xf numFmtId="0" fontId="0" fillId="10" borderId="0" pivotButton="0" quotePrefix="0" xfId="0"/>
    <xf numFmtId="0" fontId="3" fillId="10" borderId="0" pivotButton="0" quotePrefix="0" xfId="0"/>
    <xf numFmtId="0" fontId="3" fillId="10" borderId="0" applyAlignment="1" pivotButton="0" quotePrefix="0" xfId="0">
      <alignment vertical="center"/>
    </xf>
    <xf numFmtId="0" fontId="0" fillId="11" borderId="0" pivotButton="0" quotePrefix="0" xfId="0"/>
    <xf numFmtId="0" fontId="5" fillId="11" borderId="0" pivotButton="0" quotePrefix="0" xfId="0"/>
    <xf numFmtId="0" fontId="5" fillId="11" borderId="19" pivotButton="0" quotePrefix="0" xfId="0"/>
    <xf numFmtId="0" fontId="5" fillId="11" borderId="20" pivotButton="0" quotePrefix="0" xfId="0"/>
    <xf numFmtId="0" fontId="5" fillId="11" borderId="21" pivotButton="0" quotePrefix="0" xfId="0"/>
    <xf numFmtId="0" fontId="5" fillId="11" borderId="22" pivotButton="0" quotePrefix="0" xfId="0"/>
    <xf numFmtId="0" fontId="5" fillId="11" borderId="23" pivotButton="0" quotePrefix="0" xfId="0"/>
    <xf numFmtId="0" fontId="5" fillId="11" borderId="24" pivotButton="0" quotePrefix="0" xfId="0"/>
    <xf numFmtId="0" fontId="5" fillId="11" borderId="25" pivotButton="0" quotePrefix="0" xfId="0"/>
    <xf numFmtId="0" fontId="5" fillId="11" borderId="26" pivotButton="0" quotePrefix="0" xfId="0"/>
    <xf numFmtId="0" fontId="5" fillId="11" borderId="19" applyAlignment="1" pivotButton="0" quotePrefix="0" xfId="0">
      <alignment wrapText="1"/>
    </xf>
    <xf numFmtId="0" fontId="5" fillId="11" borderId="20" applyAlignment="1" pivotButton="0" quotePrefix="0" xfId="0">
      <alignment wrapText="1"/>
    </xf>
    <xf numFmtId="0" fontId="5" fillId="11" borderId="21" applyAlignment="1" pivotButton="0" quotePrefix="0" xfId="0">
      <alignment wrapText="1"/>
    </xf>
    <xf numFmtId="0" fontId="5" fillId="11" borderId="22" applyAlignment="1" pivotButton="0" quotePrefix="0" xfId="0">
      <alignment wrapText="1"/>
    </xf>
    <xf numFmtId="0" fontId="5" fillId="11" borderId="0" applyAlignment="1" pivotButton="0" quotePrefix="0" xfId="0">
      <alignment wrapText="1"/>
    </xf>
    <xf numFmtId="0" fontId="5" fillId="11" borderId="23" applyAlignment="1" pivotButton="0" quotePrefix="0" xfId="0">
      <alignment wrapText="1"/>
    </xf>
    <xf numFmtId="0" fontId="5" fillId="11" borderId="24" applyAlignment="1" pivotButton="0" quotePrefix="0" xfId="0">
      <alignment wrapText="1"/>
    </xf>
    <xf numFmtId="0" fontId="5" fillId="11" borderId="25" applyAlignment="1" pivotButton="0" quotePrefix="0" xfId="0">
      <alignment wrapText="1"/>
    </xf>
    <xf numFmtId="0" fontId="5" fillId="11" borderId="26" applyAlignment="1" pivotButton="0" quotePrefix="0" xfId="0">
      <alignment wrapText="1"/>
    </xf>
    <xf numFmtId="0" fontId="5" fillId="11" borderId="19" applyAlignment="1" pivotButton="0" quotePrefix="0" xfId="0">
      <alignment vertical="center" wrapText="1"/>
    </xf>
    <xf numFmtId="0" fontId="5" fillId="11" borderId="20" applyAlignment="1" pivotButton="0" quotePrefix="0" xfId="0">
      <alignment vertical="center" wrapText="1"/>
    </xf>
    <xf numFmtId="0" fontId="5" fillId="11" borderId="21" applyAlignment="1" pivotButton="0" quotePrefix="0" xfId="0">
      <alignment vertical="center" wrapText="1"/>
    </xf>
    <xf numFmtId="0" fontId="5" fillId="11" borderId="22" applyAlignment="1" pivotButton="0" quotePrefix="0" xfId="0">
      <alignment vertical="center" wrapText="1"/>
    </xf>
    <xf numFmtId="0" fontId="5" fillId="11" borderId="0" applyAlignment="1" pivotButton="0" quotePrefix="0" xfId="0">
      <alignment vertical="center" wrapText="1"/>
    </xf>
    <xf numFmtId="0" fontId="5" fillId="11" borderId="23" applyAlignment="1" pivotButton="0" quotePrefix="0" xfId="0">
      <alignment vertical="center" wrapText="1"/>
    </xf>
    <xf numFmtId="0" fontId="5" fillId="11" borderId="24" applyAlignment="1" pivotButton="0" quotePrefix="0" xfId="0">
      <alignment vertical="center" wrapText="1"/>
    </xf>
    <xf numFmtId="0" fontId="5" fillId="11" borderId="25" applyAlignment="1" pivotButton="0" quotePrefix="0" xfId="0">
      <alignment vertical="center" wrapText="1"/>
    </xf>
    <xf numFmtId="0" fontId="5" fillId="11" borderId="26" applyAlignment="1" pivotButton="0" quotePrefix="0" xfId="0">
      <alignment vertical="center" wrapText="1"/>
    </xf>
    <xf numFmtId="0" fontId="11" fillId="11" borderId="0" pivotButton="0" quotePrefix="0" xfId="0"/>
    <xf numFmtId="0" fontId="11" fillId="11" borderId="0" applyAlignment="1" pivotButton="0" quotePrefix="0" xfId="0">
      <alignment wrapText="1"/>
    </xf>
    <xf numFmtId="164" fontId="7" fillId="11" borderId="17" applyAlignment="1" pivotButton="0" quotePrefix="0" xfId="0">
      <alignment vertical="top" wrapText="1"/>
    </xf>
    <xf numFmtId="0" fontId="7" fillId="11" borderId="17" applyAlignment="1" pivotButton="0" quotePrefix="0" xfId="0">
      <alignment vertical="top" wrapText="1"/>
    </xf>
    <xf numFmtId="164" fontId="9" fillId="5" borderId="18" pivotButton="0" quotePrefix="0" xfId="0"/>
    <xf numFmtId="0" fontId="7" fillId="7" borderId="17" applyAlignment="1" pivotButton="0" quotePrefix="0" xfId="0">
      <alignment vertical="top" wrapText="1"/>
    </xf>
    <xf numFmtId="0" fontId="12" fillId="7" borderId="17" applyAlignment="1" pivotButton="0" quotePrefix="0" xfId="0">
      <alignment vertical="top" wrapText="1"/>
    </xf>
    <xf numFmtId="0" fontId="12" fillId="7" borderId="17" applyAlignment="1" pivotButton="0" quotePrefix="0" xfId="0">
      <alignment horizontal="center" vertical="top" wrapText="1"/>
    </xf>
    <xf numFmtId="0" fontId="4" fillId="7" borderId="0" pivotButton="0" quotePrefix="0" xfId="0"/>
    <xf numFmtId="0" fontId="4" fillId="7" borderId="9" pivotButton="0" quotePrefix="0" xfId="0"/>
    <xf numFmtId="0" fontId="4" fillId="7" borderId="10" pivotButton="0" quotePrefix="0" xfId="0"/>
    <xf numFmtId="0" fontId="4" fillId="7" borderId="11" pivotButton="0" quotePrefix="0" xfId="0"/>
    <xf numFmtId="0" fontId="4" fillId="7" borderId="12" pivotButton="0" quotePrefix="0" xfId="0"/>
    <xf numFmtId="0" fontId="4" fillId="7" borderId="13" pivotButton="0" quotePrefix="0" xfId="0"/>
    <xf numFmtId="0" fontId="4" fillId="7" borderId="14" pivotButton="0" quotePrefix="0" xfId="0"/>
    <xf numFmtId="0" fontId="4" fillId="7" borderId="15" pivotButton="0" quotePrefix="0" xfId="0"/>
    <xf numFmtId="0" fontId="4" fillId="7" borderId="16" pivotButton="0" quotePrefix="0" xfId="0"/>
    <xf numFmtId="0" fontId="4" fillId="7" borderId="9" applyAlignment="1" pivotButton="0" quotePrefix="0" xfId="0">
      <alignment wrapText="1"/>
    </xf>
    <xf numFmtId="0" fontId="4" fillId="7" borderId="10" applyAlignment="1" pivotButton="0" quotePrefix="0" xfId="0">
      <alignment wrapText="1"/>
    </xf>
    <xf numFmtId="0" fontId="4" fillId="7" borderId="11" applyAlignment="1" pivotButton="0" quotePrefix="0" xfId="0">
      <alignment wrapText="1"/>
    </xf>
    <xf numFmtId="0" fontId="4" fillId="7" borderId="12" applyAlignment="1" pivotButton="0" quotePrefix="0" xfId="0">
      <alignment wrapText="1"/>
    </xf>
    <xf numFmtId="0" fontId="4" fillId="7" borderId="0" applyAlignment="1" pivotButton="0" quotePrefix="0" xfId="0">
      <alignment wrapText="1"/>
    </xf>
    <xf numFmtId="0" fontId="4" fillId="7" borderId="13" applyAlignment="1" pivotButton="0" quotePrefix="0" xfId="0">
      <alignment wrapText="1"/>
    </xf>
    <xf numFmtId="0" fontId="4" fillId="7" borderId="14" applyAlignment="1" pivotButton="0" quotePrefix="0" xfId="0">
      <alignment wrapText="1"/>
    </xf>
    <xf numFmtId="0" fontId="4" fillId="7" borderId="15" applyAlignment="1" pivotButton="0" quotePrefix="0" xfId="0">
      <alignment wrapText="1"/>
    </xf>
    <xf numFmtId="0" fontId="4" fillId="7" borderId="16" applyAlignment="1" pivotButton="0" quotePrefix="0" xfId="0">
      <alignment wrapText="1"/>
    </xf>
    <xf numFmtId="0" fontId="4" fillId="7" borderId="9" applyAlignment="1" pivotButton="0" quotePrefix="0" xfId="0">
      <alignment vertical="center" wrapText="1"/>
    </xf>
    <xf numFmtId="0" fontId="4" fillId="7" borderId="10" applyAlignment="1" pivotButton="0" quotePrefix="0" xfId="0">
      <alignment vertical="center" wrapText="1"/>
    </xf>
    <xf numFmtId="0" fontId="4" fillId="7" borderId="11" applyAlignment="1" pivotButton="0" quotePrefix="0" xfId="0">
      <alignment vertical="center" wrapText="1"/>
    </xf>
    <xf numFmtId="0" fontId="4" fillId="7" borderId="12" applyAlignment="1" pivotButton="0" quotePrefix="0" xfId="0">
      <alignment vertical="center" wrapText="1"/>
    </xf>
    <xf numFmtId="0" fontId="4" fillId="7" borderId="0" applyAlignment="1" pivotButton="0" quotePrefix="0" xfId="0">
      <alignment vertical="center" wrapText="1"/>
    </xf>
    <xf numFmtId="0" fontId="4" fillId="7" borderId="13" applyAlignment="1" pivotButton="0" quotePrefix="0" xfId="0">
      <alignment vertical="center" wrapText="1"/>
    </xf>
    <xf numFmtId="0" fontId="4" fillId="7" borderId="14" applyAlignment="1" pivotButton="0" quotePrefix="0" xfId="0">
      <alignment vertical="center" wrapText="1"/>
    </xf>
    <xf numFmtId="0" fontId="4" fillId="7" borderId="15" applyAlignment="1" pivotButton="0" quotePrefix="0" xfId="0">
      <alignment vertical="center" wrapText="1"/>
    </xf>
    <xf numFmtId="0" fontId="4" fillId="7" borderId="16" applyAlignment="1" pivotButton="0" quotePrefix="0" xfId="0">
      <alignment vertical="center" wrapText="1"/>
    </xf>
    <xf numFmtId="3" fontId="7" fillId="11" borderId="17" applyAlignment="1" pivotButton="0" quotePrefix="0" xfId="0">
      <alignment vertical="top" wrapText="1"/>
    </xf>
    <xf numFmtId="3" fontId="7" fillId="0" borderId="17" applyAlignment="1" pivotButton="0" quotePrefix="0" xfId="0">
      <alignment vertical="top" wrapText="1"/>
    </xf>
    <xf numFmtId="165" fontId="7" fillId="11" borderId="17" applyAlignment="1" pivotButton="0" quotePrefix="0" xfId="0">
      <alignment vertical="top" wrapText="1"/>
    </xf>
    <xf numFmtId="166" fontId="7" fillId="11" borderId="17" applyAlignment="1" pivotButton="0" quotePrefix="0" xfId="0">
      <alignment vertical="top" wrapText="1"/>
    </xf>
    <xf numFmtId="167" fontId="7" fillId="11" borderId="17" applyAlignment="1" pivotButton="0" quotePrefix="0" xfId="0">
      <alignment vertical="top" wrapText="1"/>
    </xf>
    <xf numFmtId="166" fontId="7" fillId="0" borderId="17" applyAlignment="1" pivotButton="0" quotePrefix="0" xfId="0">
      <alignment vertical="top" wrapText="1"/>
    </xf>
    <xf numFmtId="167" fontId="7" fillId="0" borderId="17" applyAlignment="1" pivotButton="0" quotePrefix="0" xfId="0">
      <alignment vertical="top" wrapText="1"/>
    </xf>
    <xf numFmtId="168" fontId="7" fillId="0" borderId="17" applyAlignment="1" pivotButton="0" quotePrefix="0" xfId="0">
      <alignment vertical="top" wrapText="1"/>
    </xf>
    <xf numFmtId="0" fontId="13" fillId="2" borderId="0" applyAlignment="1" pivotButton="0" quotePrefix="0" xfId="0">
      <alignment vertical="center"/>
    </xf>
    <xf numFmtId="0" fontId="14" fillId="3" borderId="0" applyAlignment="1" pivotButton="0" quotePrefix="0" xfId="0">
      <alignment vertical="center" wrapText="1"/>
    </xf>
    <xf numFmtId="0" fontId="15" fillId="0" borderId="0" pivotButton="0" quotePrefix="0" xfId="0"/>
    <xf numFmtId="0" fontId="13" fillId="4" borderId="0" applyAlignment="1" pivotButton="0" quotePrefix="0" xfId="0">
      <alignment vertical="center"/>
    </xf>
    <xf numFmtId="0" fontId="13" fillId="5" borderId="1" applyAlignment="1" pivotButton="0" quotePrefix="0" xfId="0">
      <alignment vertical="center" wrapText="1"/>
    </xf>
    <xf numFmtId="0" fontId="13" fillId="5" borderId="2" applyAlignment="1" pivotButton="0" quotePrefix="0" xfId="0">
      <alignment vertical="center" wrapText="1"/>
    </xf>
    <xf numFmtId="0" fontId="13" fillId="5" borderId="3" applyAlignment="1" pivotButton="0" quotePrefix="0" xfId="0">
      <alignment vertical="center" wrapText="1"/>
    </xf>
    <xf numFmtId="0" fontId="13" fillId="5" borderId="4" applyAlignment="1" pivotButton="0" quotePrefix="0" xfId="0">
      <alignment vertical="center" wrapText="1"/>
    </xf>
    <xf numFmtId="0" fontId="13" fillId="5" borderId="0" applyAlignment="1" pivotButton="0" quotePrefix="0" xfId="0">
      <alignment vertical="center" wrapText="1"/>
    </xf>
    <xf numFmtId="0" fontId="13" fillId="5" borderId="5" applyAlignment="1" pivotButton="0" quotePrefix="0" xfId="0">
      <alignment vertical="center" wrapText="1"/>
    </xf>
    <xf numFmtId="0" fontId="13" fillId="5" borderId="6" applyAlignment="1" pivotButton="0" quotePrefix="0" xfId="0">
      <alignment vertical="center" wrapText="1"/>
    </xf>
    <xf numFmtId="0" fontId="13" fillId="5" borderId="7" applyAlignment="1" pivotButton="0" quotePrefix="0" xfId="0">
      <alignment vertical="center" wrapText="1"/>
    </xf>
    <xf numFmtId="0" fontId="13" fillId="5" borderId="8" applyAlignment="1" pivotButton="0" quotePrefix="0" xfId="0">
      <alignment vertical="center" wrapText="1"/>
    </xf>
    <xf numFmtId="0" fontId="13" fillId="6" borderId="0" applyAlignment="1" pivotButton="0" quotePrefix="0" xfId="0">
      <alignment vertical="center"/>
    </xf>
    <xf numFmtId="0" fontId="15" fillId="7" borderId="9" applyAlignment="1" pivotButton="0" quotePrefix="0" xfId="0">
      <alignment vertical="center" wrapText="1"/>
    </xf>
    <xf numFmtId="0" fontId="15" fillId="7" borderId="10" applyAlignment="1" pivotButton="0" quotePrefix="0" xfId="0">
      <alignment vertical="center" wrapText="1"/>
    </xf>
    <xf numFmtId="0" fontId="15" fillId="7" borderId="11" applyAlignment="1" pivotButton="0" quotePrefix="0" xfId="0">
      <alignment vertical="center" wrapText="1"/>
    </xf>
    <xf numFmtId="0" fontId="15" fillId="7" borderId="12" applyAlignment="1" pivotButton="0" quotePrefix="0" xfId="0">
      <alignment vertical="center" wrapText="1"/>
    </xf>
    <xf numFmtId="0" fontId="15" fillId="7" borderId="0" applyAlignment="1" pivotButton="0" quotePrefix="0" xfId="0">
      <alignment vertical="center" wrapText="1"/>
    </xf>
    <xf numFmtId="0" fontId="15" fillId="7" borderId="13" applyAlignment="1" pivotButton="0" quotePrefix="0" xfId="0">
      <alignment vertical="center" wrapText="1"/>
    </xf>
    <xf numFmtId="0" fontId="15" fillId="7" borderId="14" applyAlignment="1" pivotButton="0" quotePrefix="0" xfId="0">
      <alignment vertical="center" wrapText="1"/>
    </xf>
    <xf numFmtId="0" fontId="15" fillId="7" borderId="15" applyAlignment="1" pivotButton="0" quotePrefix="0" xfId="0">
      <alignment vertical="center" wrapText="1"/>
    </xf>
    <xf numFmtId="0" fontId="15" fillId="7" borderId="16" applyAlignment="1" pivotButton="0" quotePrefix="0" xfId="0">
      <alignment vertical="center" wrapText="1"/>
    </xf>
    <xf numFmtId="0" fontId="13" fillId="8" borderId="0" applyAlignment="1" pivotButton="0" quotePrefix="0" xfId="0">
      <alignment vertical="center"/>
    </xf>
    <xf numFmtId="0" fontId="13" fillId="8" borderId="17" applyAlignment="1" pivotButton="0" quotePrefix="0" xfId="0">
      <alignment vertical="center" wrapText="1"/>
    </xf>
    <xf numFmtId="0" fontId="13" fillId="9" borderId="17" applyAlignment="1" pivotButton="0" quotePrefix="0" xfId="0">
      <alignment horizontal="center" vertical="center" wrapText="1"/>
    </xf>
    <xf numFmtId="0" fontId="15" fillId="0" borderId="17" applyAlignment="1" pivotButton="0" quotePrefix="0" xfId="0">
      <alignment vertical="top" wrapText="1"/>
    </xf>
    <xf numFmtId="0" fontId="13" fillId="4" borderId="17" applyAlignment="1" pivotButton="0" quotePrefix="0" xfId="0">
      <alignment vertical="center" wrapText="1"/>
    </xf>
    <xf numFmtId="164" fontId="15" fillId="0" borderId="17" applyAlignment="1" pivotButton="0" quotePrefix="0" xfId="0">
      <alignment vertical="top" wrapText="1"/>
    </xf>
    <xf numFmtId="0" fontId="16" fillId="2" borderId="0" applyAlignment="1" pivotButton="0" quotePrefix="0" xfId="0">
      <alignment vertical="center"/>
    </xf>
    <xf numFmtId="0" fontId="17" fillId="3" borderId="0" applyAlignment="1" pivotButton="0" quotePrefix="0" xfId="0">
      <alignment vertical="center" wrapText="1"/>
    </xf>
    <xf numFmtId="0" fontId="14" fillId="11" borderId="0" applyAlignment="1" pivotButton="0" quotePrefix="0" xfId="0">
      <alignment wrapText="1"/>
    </xf>
    <xf numFmtId="164" fontId="15" fillId="11" borderId="17" applyAlignment="1" pivotButton="0" quotePrefix="0" xfId="0">
      <alignment vertical="top" wrapText="1"/>
    </xf>
    <xf numFmtId="1" fontId="15" fillId="0" borderId="17" applyAlignment="1" pivotButton="0" quotePrefix="0" xfId="0">
      <alignment vertical="top" wrapText="1"/>
    </xf>
    <xf numFmtId="0" fontId="13" fillId="5" borderId="18" pivotButton="0" quotePrefix="0" xfId="0"/>
    <xf numFmtId="0" fontId="13" fillId="0" borderId="17" applyAlignment="1" pivotButton="0" quotePrefix="0" xfId="0">
      <alignment vertical="top" wrapText="1"/>
    </xf>
    <xf numFmtId="0" fontId="13" fillId="10" borderId="0" applyAlignment="1" pivotButton="0" quotePrefix="0" xfId="0">
      <alignment vertical="center"/>
    </xf>
    <xf numFmtId="0" fontId="15" fillId="11" borderId="19" applyAlignment="1" pivotButton="0" quotePrefix="0" xfId="0">
      <alignment vertical="center" wrapText="1"/>
    </xf>
    <xf numFmtId="0" fontId="15" fillId="11" borderId="20" applyAlignment="1" pivotButton="0" quotePrefix="0" xfId="0">
      <alignment vertical="center" wrapText="1"/>
    </xf>
    <xf numFmtId="0" fontId="15" fillId="11" borderId="21" applyAlignment="1" pivotButton="0" quotePrefix="0" xfId="0">
      <alignment vertical="center" wrapText="1"/>
    </xf>
    <xf numFmtId="0" fontId="15" fillId="11" borderId="22" applyAlignment="1" pivotButton="0" quotePrefix="0" xfId="0">
      <alignment vertical="center" wrapText="1"/>
    </xf>
    <xf numFmtId="0" fontId="15" fillId="11" borderId="0" applyAlignment="1" pivotButton="0" quotePrefix="0" xfId="0">
      <alignment vertical="center" wrapText="1"/>
    </xf>
    <xf numFmtId="0" fontId="15" fillId="11" borderId="23" applyAlignment="1" pivotButton="0" quotePrefix="0" xfId="0">
      <alignment vertical="center" wrapText="1"/>
    </xf>
    <xf numFmtId="0" fontId="15" fillId="11" borderId="24" applyAlignment="1" pivotButton="0" quotePrefix="0" xfId="0">
      <alignment vertical="center" wrapText="1"/>
    </xf>
    <xf numFmtId="0" fontId="15" fillId="11" borderId="25" applyAlignment="1" pivotButton="0" quotePrefix="0" xfId="0">
      <alignment vertical="center" wrapText="1"/>
    </xf>
    <xf numFmtId="0" fontId="15" fillId="11" borderId="26" applyAlignment="1" pivotButton="0" quotePrefix="0" xfId="0">
      <alignment vertical="center" wrapText="1"/>
    </xf>
    <xf numFmtId="0" fontId="15" fillId="11" borderId="17" applyAlignment="1" pivotButton="0" quotePrefix="0" xfId="0">
      <alignment vertical="top" wrapText="1"/>
    </xf>
    <xf numFmtId="164" fontId="13" fillId="5" borderId="18" pivotButton="0" quotePrefix="0" xfId="0"/>
    <xf numFmtId="0" fontId="13" fillId="7" borderId="17" applyAlignment="1" pivotButton="0" quotePrefix="0" xfId="0">
      <alignment horizontal="center" vertical="top" wrapText="1"/>
    </xf>
    <xf numFmtId="0" fontId="13" fillId="7" borderId="9" applyAlignment="1" pivotButton="0" quotePrefix="0" xfId="0">
      <alignment vertical="center" wrapText="1"/>
    </xf>
    <xf numFmtId="0" fontId="13" fillId="7" borderId="10" applyAlignment="1" pivotButton="0" quotePrefix="0" xfId="0">
      <alignment vertical="center" wrapText="1"/>
    </xf>
    <xf numFmtId="0" fontId="13" fillId="7" borderId="11" applyAlignment="1" pivotButton="0" quotePrefix="0" xfId="0">
      <alignment vertical="center" wrapText="1"/>
    </xf>
    <xf numFmtId="0" fontId="13" fillId="7" borderId="12" applyAlignment="1" pivotButton="0" quotePrefix="0" xfId="0">
      <alignment vertical="center" wrapText="1"/>
    </xf>
    <xf numFmtId="0" fontId="13" fillId="7" borderId="0" applyAlignment="1" pivotButton="0" quotePrefix="0" xfId="0">
      <alignment vertical="center" wrapText="1"/>
    </xf>
    <xf numFmtId="0" fontId="13" fillId="7" borderId="13" applyAlignment="1" pivotButton="0" quotePrefix="0" xfId="0">
      <alignment vertical="center" wrapText="1"/>
    </xf>
    <xf numFmtId="0" fontId="13" fillId="7" borderId="14" applyAlignment="1" pivotButton="0" quotePrefix="0" xfId="0">
      <alignment vertical="center" wrapText="1"/>
    </xf>
    <xf numFmtId="0" fontId="13" fillId="7" borderId="15" applyAlignment="1" pivotButton="0" quotePrefix="0" xfId="0">
      <alignment vertical="center" wrapText="1"/>
    </xf>
    <xf numFmtId="0" fontId="13" fillId="7" borderId="16" applyAlignment="1" pivotButton="0" quotePrefix="0" xfId="0">
      <alignment vertical="center" wrapText="1"/>
    </xf>
    <xf numFmtId="3" fontId="15" fillId="11" borderId="17" applyAlignment="1" pivotButton="0" quotePrefix="0" xfId="0">
      <alignment vertical="top" wrapText="1"/>
    </xf>
    <xf numFmtId="3" fontId="15" fillId="0" borderId="17" applyAlignment="1" pivotButton="0" quotePrefix="0" xfId="0">
      <alignment vertical="top" wrapText="1"/>
    </xf>
    <xf numFmtId="165" fontId="15" fillId="11" borderId="17" applyAlignment="1" pivotButton="0" quotePrefix="0" xfId="0">
      <alignment vertical="top" wrapText="1"/>
    </xf>
    <xf numFmtId="166" fontId="15" fillId="11" borderId="17" applyAlignment="1" pivotButton="0" quotePrefix="0" xfId="0">
      <alignment vertical="top" wrapText="1"/>
    </xf>
    <xf numFmtId="167" fontId="15" fillId="11" borderId="17" applyAlignment="1" pivotButton="0" quotePrefix="0" xfId="0">
      <alignment vertical="top" wrapText="1"/>
    </xf>
    <xf numFmtId="166" fontId="15" fillId="0" borderId="17" applyAlignment="1" pivotButton="0" quotePrefix="0" xfId="0">
      <alignment vertical="top" wrapText="1"/>
    </xf>
    <xf numFmtId="167" fontId="15" fillId="0" borderId="17" applyAlignment="1" pivotButton="0" quotePrefix="0" xfId="0">
      <alignment vertical="top" wrapText="1"/>
    </xf>
    <xf numFmtId="168" fontId="15" fillId="0" borderId="17" applyAlignment="1" pivotButton="0" quotePrefix="0" xfId="0">
      <alignment vertical="top" wrapText="1"/>
    </xf>
    <xf numFmtId="0" fontId="18" fillId="4" borderId="17" applyAlignment="1" pivotButton="0" quotePrefix="0" xfId="0">
      <alignment vertical="center" wrapText="1"/>
    </xf>
    <xf numFmtId="0" fontId="13" fillId="5" borderId="18" applyAlignment="1" pivotButton="0" quotePrefix="0" xfId="0">
      <alignment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5" fillId="7" borderId="27" applyAlignment="1" pivotButton="0" quotePrefix="0" xfId="0">
      <alignment vertical="center" wrapText="1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30" pivotButton="0" quotePrefix="0" xfId="0"/>
    <xf numFmtId="0" fontId="0" fillId="0" borderId="31" pivotButton="0" quotePrefix="0" xfId="0"/>
    <xf numFmtId="164" fontId="15" fillId="0" borderId="17" applyAlignment="1" pivotButton="0" quotePrefix="0" xfId="0">
      <alignment vertical="top" wrapText="1"/>
    </xf>
    <xf numFmtId="164" fontId="15" fillId="11" borderId="17" applyAlignment="1" pivotButton="0" quotePrefix="0" xfId="0">
      <alignment vertical="top" wrapText="1"/>
    </xf>
    <xf numFmtId="1" fontId="15" fillId="0" borderId="17" applyAlignment="1" pivotButton="0" quotePrefix="0" xfId="0">
      <alignment vertical="top" wrapText="1"/>
    </xf>
    <xf numFmtId="0" fontId="15" fillId="11" borderId="32" applyAlignment="1" pivotButton="0" quotePrefix="0" xfId="0">
      <alignment vertical="center" wrapText="1"/>
    </xf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164" fontId="13" fillId="5" borderId="18" pivotButton="0" quotePrefix="0" xfId="0"/>
    <xf numFmtId="0" fontId="13" fillId="7" borderId="27" applyAlignment="1" pivotButton="0" quotePrefix="0" xfId="0">
      <alignment vertical="center" wrapText="1"/>
    </xf>
    <xf numFmtId="3" fontId="15" fillId="11" borderId="17" applyAlignment="1" pivotButton="0" quotePrefix="0" xfId="0">
      <alignment vertical="top" wrapText="1"/>
    </xf>
    <xf numFmtId="3" fontId="15" fillId="0" borderId="17" applyAlignment="1" pivotButton="0" quotePrefix="0" xfId="0">
      <alignment vertical="top" wrapText="1"/>
    </xf>
    <xf numFmtId="165" fontId="15" fillId="11" borderId="17" applyAlignment="1" pivotButton="0" quotePrefix="0" xfId="0">
      <alignment vertical="top" wrapText="1"/>
    </xf>
    <xf numFmtId="166" fontId="15" fillId="11" borderId="17" applyAlignment="1" pivotButton="0" quotePrefix="0" xfId="0">
      <alignment vertical="top" wrapText="1"/>
    </xf>
    <xf numFmtId="167" fontId="15" fillId="11" borderId="17" applyAlignment="1" pivotButton="0" quotePrefix="0" xfId="0">
      <alignment vertical="top" wrapText="1"/>
    </xf>
    <xf numFmtId="166" fontId="15" fillId="0" borderId="17" applyAlignment="1" pivotButton="0" quotePrefix="0" xfId="0">
      <alignment vertical="top" wrapText="1"/>
    </xf>
    <xf numFmtId="167" fontId="15" fillId="0" borderId="17" applyAlignment="1" pivotButton="0" quotePrefix="0" xfId="0">
      <alignment vertical="top" wrapText="1"/>
    </xf>
    <xf numFmtId="168" fontId="15" fillId="0" borderId="17" applyAlignment="1" pivotButton="0" quotePrefix="0" xfId="0">
      <alignment vertical="top" wrapText="1"/>
    </xf>
    <xf numFmtId="0" fontId="19" fillId="0" borderId="0" pivotButton="0" quotePrefix="0" xfId="0"/>
    <xf numFmtId="0" fontId="20" fillId="0" borderId="0" applyAlignment="1" pivotButton="0" quotePrefix="0" xfId="0">
      <alignment vertical="top" wrapText="1"/>
    </xf>
    <xf numFmtId="0" fontId="23" fillId="15" borderId="0" applyAlignment="1" pivotButton="0" quotePrefix="0" xfId="0">
      <alignment vertical="center" wrapText="1"/>
    </xf>
    <xf numFmtId="0" fontId="21" fillId="12" borderId="33" applyAlignment="1" pivotButton="0" quotePrefix="0" xfId="0">
      <alignment vertical="top" wrapText="1"/>
    </xf>
    <xf numFmtId="0" fontId="20" fillId="12" borderId="33" applyAlignment="1" pivotButton="0" quotePrefix="0" xfId="0">
      <alignment vertical="top" wrapText="1"/>
    </xf>
    <xf numFmtId="0" fontId="21" fillId="13" borderId="33" applyAlignment="1" pivotButton="0" quotePrefix="0" xfId="0">
      <alignment vertical="top" wrapText="1"/>
    </xf>
    <xf numFmtId="0" fontId="20" fillId="13" borderId="33" applyAlignment="1" pivotButton="0" quotePrefix="0" xfId="0">
      <alignment vertical="top" wrapText="1"/>
    </xf>
    <xf numFmtId="0" fontId="22" fillId="0" borderId="0" pivotButton="0" quotePrefix="0" xfId="0"/>
    <xf numFmtId="0" fontId="21" fillId="14" borderId="33" pivotButton="0" quotePrefix="0" xfId="0"/>
    <xf numFmtId="0" fontId="0" fillId="14" borderId="33" pivotButton="0" quotePrefix="0" xfId="0"/>
    <xf numFmtId="0" fontId="20" fillId="14" borderId="33" applyAlignment="1" pivotButton="0" quotePrefix="0" xfId="0">
      <alignment vertical="top" wrapText="1"/>
    </xf>
  </cellXfs>
  <cellStyles count="1">
    <cellStyle name="Normal" xfId="0"/>
  </cellStyles>
  <dxfs count="9">
    <dxf>
      <font>
        <b val="1"/>
        <color rgb="FFB91C1C"/>
      </font>
      <fill>
        <patternFill patternType="solid">
          <bgColor rgb="FFFDEBEC"/>
        </patternFill>
      </fill>
    </dxf>
    <dxf>
      <font>
        <b val="1"/>
        <color rgb="FF15803D"/>
      </font>
      <fill>
        <patternFill patternType="solid">
          <bgColor rgb="FFEAF7EE"/>
        </patternFill>
      </fill>
    </dxf>
    <dxf>
      <font>
        <b val="1"/>
        <color rgb="FF0F766E"/>
      </font>
      <fill>
        <patternFill patternType="solid">
          <bgColor rgb="FFE7F6F3"/>
        </patternFill>
      </fill>
    </dxf>
    <dxf>
      <font>
        <b val="1"/>
        <color rgb="FF15803D"/>
      </font>
      <fill>
        <patternFill patternType="solid">
          <bgColor rgb="FFEAF7EE"/>
        </patternFill>
      </fill>
    </dxf>
    <dxf>
      <font>
        <b val="1"/>
        <color rgb="FFB91C1C"/>
      </font>
      <fill>
        <patternFill patternType="solid">
          <bgColor rgb="FFFDEBEC"/>
        </patternFill>
      </fill>
    </dxf>
    <dxf>
      <font>
        <b val="1"/>
        <color rgb="FF15803D"/>
      </font>
      <fill>
        <patternFill patternType="solid">
          <bgColor rgb="FFEAF7EE"/>
        </patternFill>
      </fill>
    </dxf>
    <dxf>
      <font>
        <b val="1"/>
        <color rgb="FFB91C1C"/>
      </font>
      <fill>
        <patternFill patternType="solid">
          <bgColor rgb="FFFDEBEC"/>
        </patternFill>
      </fill>
    </dxf>
    <dxf>
      <font>
        <b val="1"/>
        <color rgb="FFB91C1C"/>
      </font>
      <fill>
        <patternFill patternType="solid">
          <bgColor rgb="FFFDEBEC"/>
        </patternFill>
      </fill>
    </dxf>
    <dxf>
      <font>
        <b val="1"/>
        <color rgb="FF15803D"/>
      </font>
      <fill>
        <patternFill patternType="solid">
          <bgColor rgb="FFEAF7EE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t>Weighted opportunity score / 100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v>Score</v>
          </tx>
          <spPr>
            <a:ln>
              <a:prstDash val="solid"/>
            </a:ln>
          </spPr>
          <cat>
            <strRef>
              <f>'Executive Summary'!$J$21:$J$26</f>
              <strCache>
                <ptCount val="0"/>
              </strCache>
            </strRef>
          </cat>
          <val>
            <numRef>
              <f>'Executive Summary'!$K$21:$K$26</f>
              <numCache>
                <formatCode>0.0</formatCode>
                <ptCount val="0"/>
              </numCache>
            </numRef>
          </val>
        </ser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Between val="between"/>
      </valAx>
    </plotArea>
    <plotVisOnly val="1"/>
    <dispBlanksAs val="gap"/>
  </chart>
  <spPr>
    <a:ln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9</col>
      <colOff>0</colOff>
      <row>4</row>
      <rowOff>0</rowOff>
    </from>
    <to>
      <col>17</col>
      <colOff>0</colOff>
      <row>18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3" customWidth="1" min="9" max="9"/>
    <col width="34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 ht="32" customHeight="1">
      <c r="A1" s="197" t="inlineStr">
        <is>
          <t>UK Physical-Product Niche Research</t>
        </is>
      </c>
    </row>
    <row r="2" ht="30" customHeight="1">
      <c r="A2" s="198" t="inlineStr">
        <is>
          <t>Supplier-first decision pack • UK market desk research • 6 August 2026 • exact keyword volumes intentionally left for tool export</t>
        </is>
      </c>
    </row>
    <row r="3">
      <c r="A3" s="170" t="n"/>
      <c r="B3" s="170" t="n"/>
      <c r="C3" s="170" t="n"/>
      <c r="D3" s="170" t="n"/>
      <c r="E3" s="170" t="n"/>
      <c r="F3" s="170" t="n"/>
      <c r="G3" s="170" t="n"/>
      <c r="H3" s="170" t="n"/>
      <c r="I3" s="170" t="n"/>
      <c r="J3" s="170" t="n"/>
      <c r="K3" s="170" t="n"/>
      <c r="L3" s="170" t="n"/>
      <c r="M3" s="170" t="n"/>
      <c r="N3" s="170" t="n"/>
      <c r="O3" s="170" t="n"/>
      <c r="P3" s="170" t="n"/>
      <c r="Q3" s="170" t="n"/>
    </row>
    <row r="4" ht="24" customHeight="1">
      <c r="A4" s="171" t="inlineStr">
        <is>
          <t>Decision</t>
        </is>
      </c>
      <c r="I4" s="170" t="n"/>
      <c r="J4" s="171" t="inlineStr">
        <is>
          <t>Top opportunities after supplier-gate screen</t>
        </is>
      </c>
    </row>
    <row r="5">
      <c r="A5" s="235" t="inlineStr">
        <is>
          <t>Best first lane: rainwater and drought-resilience systems, provided a manufacturer will protect channel economics and support design/installation. Best ecommerce-native lane: owned or contract-manufactured performance acoustic room kits. Sensory-room packages are the strongest supplier-led B2B alternative. Freediving should not launch as a general UK catalogue: the supplier gate fails today.</t>
        </is>
      </c>
      <c r="B5" s="236" t="n"/>
      <c r="C5" s="236" t="n"/>
      <c r="D5" s="236" t="n"/>
      <c r="E5" s="236" t="n"/>
      <c r="F5" s="236" t="n"/>
      <c r="G5" s="236" t="n"/>
      <c r="H5" s="237" t="n"/>
      <c r="I5" s="170" t="n"/>
      <c r="J5" s="170" t="n"/>
      <c r="K5" s="170" t="n"/>
      <c r="L5" s="170" t="n"/>
      <c r="M5" s="170" t="n"/>
      <c r="N5" s="170" t="n"/>
      <c r="O5" s="170" t="n"/>
      <c r="P5" s="170" t="n"/>
      <c r="Q5" s="170" t="n"/>
    </row>
    <row r="6">
      <c r="A6" s="238" t="n"/>
      <c r="H6" s="239" t="n"/>
      <c r="I6" s="170" t="n"/>
      <c r="J6" s="170" t="n"/>
      <c r="K6" s="170" t="n"/>
      <c r="L6" s="170" t="n"/>
      <c r="M6" s="170" t="n"/>
      <c r="N6" s="170" t="n"/>
      <c r="O6" s="170" t="n"/>
      <c r="P6" s="170" t="n"/>
      <c r="Q6" s="170" t="n"/>
    </row>
    <row r="7">
      <c r="A7" s="238" t="n"/>
      <c r="H7" s="239" t="n"/>
      <c r="I7" s="170" t="n"/>
      <c r="J7" s="170" t="n"/>
      <c r="K7" s="170" t="n"/>
      <c r="L7" s="170" t="n"/>
      <c r="M7" s="170" t="n"/>
      <c r="N7" s="170" t="n"/>
      <c r="O7" s="170" t="n"/>
      <c r="P7" s="170" t="n"/>
      <c r="Q7" s="170" t="n"/>
    </row>
    <row r="8">
      <c r="A8" s="240" t="n"/>
      <c r="B8" s="241" t="n"/>
      <c r="C8" s="241" t="n"/>
      <c r="D8" s="241" t="n"/>
      <c r="E8" s="241" t="n"/>
      <c r="F8" s="241" t="n"/>
      <c r="G8" s="241" t="n"/>
      <c r="H8" s="242" t="n"/>
      <c r="I8" s="170" t="n"/>
      <c r="J8" s="170" t="n"/>
      <c r="K8" s="170" t="n"/>
      <c r="L8" s="170" t="n"/>
      <c r="M8" s="170" t="n"/>
      <c r="N8" s="170" t="n"/>
      <c r="O8" s="170" t="n"/>
      <c r="P8" s="170" t="n"/>
      <c r="Q8" s="170" t="n"/>
    </row>
    <row r="9">
      <c r="A9" s="170" t="n"/>
      <c r="B9" s="170" t="n"/>
      <c r="C9" s="170" t="n"/>
      <c r="D9" s="170" t="n"/>
      <c r="E9" s="170" t="n"/>
      <c r="F9" s="170" t="n"/>
      <c r="G9" s="170" t="n"/>
      <c r="H9" s="170" t="n"/>
      <c r="I9" s="170" t="n"/>
      <c r="J9" s="170" t="n"/>
      <c r="K9" s="170" t="n"/>
      <c r="L9" s="170" t="n"/>
      <c r="M9" s="170" t="n"/>
      <c r="N9" s="170" t="n"/>
      <c r="O9" s="170" t="n"/>
      <c r="P9" s="170" t="n"/>
      <c r="Q9" s="170" t="n"/>
    </row>
    <row r="10" ht="24" customHeight="1">
      <c r="A10" s="181" t="inlineStr">
        <is>
          <t>What changed because of Access Ropes</t>
        </is>
      </c>
      <c r="I10" s="170" t="n"/>
      <c r="J10" s="170" t="n"/>
      <c r="K10" s="170" t="n"/>
      <c r="L10" s="170" t="n"/>
      <c r="M10" s="170" t="n"/>
      <c r="N10" s="170" t="n"/>
      <c r="O10" s="170" t="n"/>
      <c r="P10" s="170" t="n"/>
      <c r="Q10" s="170" t="n"/>
    </row>
    <row r="11">
      <c r="A11" s="243" t="inlineStr">
        <is>
          <t>Supplier defensibility is a hard gate, not a weighted nice-to-have. Reject any opportunity where the supplier/manufacturer can quote the same buyer directly, run permanent DTC discounts, vary wholesale pricing without notice, or leave you with one source and no protected SKU. A high raw demand score cannot rescue a failed supplier gate.</t>
        </is>
      </c>
      <c r="B11" s="244" t="n"/>
      <c r="C11" s="244" t="n"/>
      <c r="D11" s="244" t="n"/>
      <c r="E11" s="244" t="n"/>
      <c r="F11" s="244" t="n"/>
      <c r="G11" s="244" t="n"/>
      <c r="H11" s="245" t="n"/>
      <c r="I11" s="170" t="n"/>
      <c r="J11" s="170" t="n"/>
      <c r="K11" s="170" t="n"/>
      <c r="L11" s="170" t="n"/>
      <c r="M11" s="170" t="n"/>
      <c r="N11" s="170" t="n"/>
      <c r="O11" s="170" t="n"/>
      <c r="P11" s="170" t="n"/>
      <c r="Q11" s="170" t="n"/>
    </row>
    <row r="12">
      <c r="A12" s="246" t="n"/>
      <c r="H12" s="247" t="n"/>
      <c r="I12" s="170" t="n"/>
      <c r="J12" s="170" t="n"/>
      <c r="K12" s="170" t="n"/>
      <c r="L12" s="170" t="n"/>
      <c r="M12" s="170" t="n"/>
      <c r="N12" s="170" t="n"/>
      <c r="O12" s="170" t="n"/>
      <c r="P12" s="170" t="n"/>
      <c r="Q12" s="170" t="n"/>
    </row>
    <row r="13">
      <c r="A13" s="246" t="n"/>
      <c r="H13" s="247" t="n"/>
      <c r="I13" s="170" t="n"/>
      <c r="J13" s="170" t="n"/>
      <c r="K13" s="170" t="n"/>
      <c r="L13" s="170" t="n"/>
      <c r="M13" s="170" t="n"/>
      <c r="N13" s="170" t="n"/>
      <c r="O13" s="170" t="n"/>
      <c r="P13" s="170" t="n"/>
      <c r="Q13" s="170" t="n"/>
    </row>
    <row r="14">
      <c r="A14" s="248" t="n"/>
      <c r="B14" s="249" t="n"/>
      <c r="C14" s="249" t="n"/>
      <c r="D14" s="249" t="n"/>
      <c r="E14" s="249" t="n"/>
      <c r="F14" s="249" t="n"/>
      <c r="G14" s="249" t="n"/>
      <c r="H14" s="250" t="n"/>
      <c r="I14" s="170" t="n"/>
      <c r="J14" s="170" t="n"/>
      <c r="K14" s="170" t="n"/>
      <c r="L14" s="170" t="n"/>
      <c r="M14" s="170" t="n"/>
      <c r="N14" s="170" t="n"/>
      <c r="O14" s="170" t="n"/>
      <c r="P14" s="170" t="n"/>
      <c r="Q14" s="170" t="n"/>
    </row>
    <row r="15">
      <c r="A15" s="170" t="n"/>
      <c r="B15" s="170" t="n"/>
      <c r="C15" s="170" t="n"/>
      <c r="D15" s="170" t="n"/>
      <c r="E15" s="170" t="n"/>
      <c r="F15" s="170" t="n"/>
      <c r="G15" s="170" t="n"/>
      <c r="H15" s="170" t="n"/>
      <c r="I15" s="170" t="n"/>
      <c r="J15" s="170" t="n"/>
      <c r="K15" s="170" t="n"/>
      <c r="L15" s="170" t="n"/>
      <c r="M15" s="170" t="n"/>
      <c r="N15" s="170" t="n"/>
      <c r="O15" s="170" t="n"/>
      <c r="P15" s="170" t="n"/>
      <c r="Q15" s="170" t="n"/>
    </row>
    <row r="16" ht="24" customHeight="1">
      <c r="A16" s="191" t="inlineStr">
        <is>
          <t>Immediate recommendation</t>
        </is>
      </c>
      <c r="I16" s="170" t="n"/>
      <c r="J16" s="170" t="n"/>
      <c r="K16" s="170" t="n"/>
      <c r="L16" s="170" t="n"/>
      <c r="M16" s="170" t="n"/>
      <c r="N16" s="170" t="n"/>
      <c r="O16" s="170" t="n"/>
      <c r="P16" s="170" t="n"/>
      <c r="Q16" s="170" t="n"/>
    </row>
    <row r="17">
      <c r="A17" s="234" t="inlineStr">
        <is>
          <t>Step</t>
        </is>
      </c>
      <c r="B17" s="251" t="n"/>
      <c r="C17" s="234" t="inlineStr">
        <is>
          <t>Output</t>
        </is>
      </c>
      <c r="D17" s="252" t="n"/>
      <c r="E17" s="252" t="n"/>
      <c r="F17" s="252" t="n"/>
      <c r="G17" s="252" t="n"/>
      <c r="H17" s="251" t="n"/>
      <c r="I17" s="170" t="n"/>
      <c r="J17" s="170" t="n"/>
      <c r="K17" s="170" t="n"/>
      <c r="L17" s="170" t="n"/>
      <c r="M17" s="170" t="n"/>
      <c r="N17" s="170" t="n"/>
      <c r="O17" s="170" t="n"/>
      <c r="P17" s="170" t="n"/>
      <c r="Q17" s="170" t="n"/>
    </row>
    <row r="18" ht="34" customHeight="1">
      <c r="A18" s="193" t="inlineStr">
        <is>
          <t>1</t>
        </is>
      </c>
      <c r="B18" s="194" t="inlineStr">
        <is>
          <t>Run supplier diligence in parallel</t>
        </is>
      </c>
      <c r="C18" s="194" t="inlineStr">
        <is>
          <t>8 rainwater suppliers/manufacturers, 3 acoustic contract makers, Sense Sensory, CompoCloset + 2 alternatives.</t>
        </is>
      </c>
      <c r="D18" s="252" t="n"/>
      <c r="E18" s="252" t="n"/>
      <c r="F18" s="252" t="n"/>
      <c r="G18" s="252" t="n"/>
      <c r="H18" s="251" t="n"/>
      <c r="I18" s="170" t="n"/>
      <c r="J18" s="170" t="n"/>
      <c r="K18" s="170" t="n"/>
      <c r="L18" s="170" t="n"/>
      <c r="M18" s="170" t="n"/>
      <c r="N18" s="170" t="n"/>
      <c r="O18" s="170" t="n"/>
      <c r="P18" s="170" t="n"/>
      <c r="Q18" s="170" t="n"/>
    </row>
    <row r="19" ht="34" customHeight="1">
      <c r="A19" s="193" t="inlineStr">
        <is>
          <t>2</t>
        </is>
      </c>
      <c r="B19" s="194" t="inlineStr">
        <is>
          <t>Do not buy inventory yet</t>
        </is>
      </c>
      <c r="C19" s="194" t="inlineStr">
        <is>
          <t>Get written price notice, DTC parity, warranty, stock and territory/unique-SKU terms first.</t>
        </is>
      </c>
      <c r="D19" s="252" t="n"/>
      <c r="E19" s="252" t="n"/>
      <c r="F19" s="252" t="n"/>
      <c r="G19" s="252" t="n"/>
      <c r="H19" s="251" t="n"/>
      <c r="I19" s="170" t="n"/>
      <c r="J19" s="170" t="n"/>
      <c r="K19" s="170" t="n"/>
      <c r="L19" s="170" t="n"/>
      <c r="M19" s="170" t="n"/>
      <c r="N19" s="170" t="n"/>
      <c r="O19" s="170" t="n"/>
      <c r="P19" s="170" t="n"/>
      <c r="Q19" s="170" t="n"/>
    </row>
    <row r="20" ht="34" customHeight="1">
      <c r="A20" s="193" t="inlineStr">
        <is>
          <t>3</t>
        </is>
      </c>
      <c r="B20" s="194" t="inlineStr">
        <is>
          <t>Validate two offers</t>
        </is>
      </c>
      <c r="C20" s="194" t="inlineStr">
        <is>
          <t>Rainwater sizing/quote tool and performance acoustic room-plan/kit tool; £1.5k–£3k test budget per lane.</t>
        </is>
      </c>
      <c r="D20" s="252" t="n"/>
      <c r="E20" s="252" t="n"/>
      <c r="F20" s="252" t="n"/>
      <c r="G20" s="252" t="n"/>
      <c r="H20" s="251" t="n"/>
      <c r="I20" s="170" t="n"/>
      <c r="J20" s="195" t="inlineStr">
        <is>
          <t>Opportunity</t>
        </is>
      </c>
      <c r="K20" s="195" t="inlineStr">
        <is>
          <t>Score</t>
        </is>
      </c>
      <c r="L20" s="170" t="n"/>
      <c r="M20" s="170" t="n"/>
      <c r="N20" s="170" t="n"/>
      <c r="O20" s="170" t="n"/>
      <c r="P20" s="170" t="n"/>
      <c r="Q20" s="170" t="n"/>
    </row>
    <row r="21" ht="34" customHeight="1">
      <c r="A21" s="193" t="inlineStr">
        <is>
          <t>4</t>
        </is>
      </c>
      <c r="B21" s="194" t="inlineStr">
        <is>
          <t>Keep freediving as an option</t>
        </is>
      </c>
      <c r="C21" s="194" t="inlineStr">
        <is>
          <t>Only move if an exclusive/protected premium supplier agrees terms; then test club-led fit/demo demand.</t>
        </is>
      </c>
      <c r="D21" s="252" t="n"/>
      <c r="E21" s="252" t="n"/>
      <c r="F21" s="252" t="n"/>
      <c r="G21" s="252" t="n"/>
      <c r="H21" s="251" t="n"/>
      <c r="I21" s="170" t="n"/>
      <c r="J21" s="194">
        <f>'Opportunity Scorecard'!B7</f>
        <v/>
      </c>
      <c r="K21" s="253">
        <f>'Opportunity Scorecard'!N7</f>
        <v/>
      </c>
      <c r="L21" s="170" t="n"/>
      <c r="M21" s="170" t="n"/>
      <c r="N21" s="170" t="n"/>
      <c r="O21" s="170" t="n"/>
      <c r="P21" s="170" t="n"/>
      <c r="Q21" s="170" t="n"/>
    </row>
    <row r="22">
      <c r="A22" s="170" t="n"/>
      <c r="B22" s="170" t="n"/>
      <c r="C22" s="170" t="n"/>
      <c r="D22" s="170" t="n"/>
      <c r="E22" s="170" t="n"/>
      <c r="F22" s="170" t="n"/>
      <c r="G22" s="170" t="n"/>
      <c r="H22" s="170" t="n"/>
      <c r="I22" s="170" t="n"/>
      <c r="J22" s="194">
        <f>'Opportunity Scorecard'!B8</f>
        <v/>
      </c>
      <c r="K22" s="253">
        <f>'Opportunity Scorecard'!N8</f>
        <v/>
      </c>
      <c r="L22" s="170" t="n"/>
      <c r="M22" s="170" t="n"/>
      <c r="N22" s="170" t="n"/>
      <c r="O22" s="170" t="n"/>
      <c r="P22" s="170" t="n"/>
      <c r="Q22" s="170" t="n"/>
    </row>
    <row r="23">
      <c r="A23" s="170" t="n"/>
      <c r="B23" s="170" t="n"/>
      <c r="C23" s="170" t="n"/>
      <c r="D23" s="170" t="n"/>
      <c r="E23" s="170" t="n"/>
      <c r="F23" s="170" t="n"/>
      <c r="G23" s="170" t="n"/>
      <c r="H23" s="170" t="n"/>
      <c r="I23" s="170" t="n"/>
      <c r="J23" s="194">
        <f>'Opportunity Scorecard'!B9</f>
        <v/>
      </c>
      <c r="K23" s="253">
        <f>'Opportunity Scorecard'!N9</f>
        <v/>
      </c>
      <c r="L23" s="170" t="n"/>
      <c r="M23" s="170" t="n"/>
      <c r="N23" s="170" t="n"/>
      <c r="O23" s="170" t="n"/>
      <c r="P23" s="170" t="n"/>
      <c r="Q23" s="170" t="n"/>
    </row>
    <row r="24">
      <c r="A24" s="170" t="n"/>
      <c r="B24" s="170" t="n"/>
      <c r="C24" s="170" t="n"/>
      <c r="D24" s="170" t="n"/>
      <c r="E24" s="170" t="n"/>
      <c r="F24" s="170" t="n"/>
      <c r="G24" s="170" t="n"/>
      <c r="H24" s="170" t="n"/>
      <c r="I24" s="170" t="n"/>
      <c r="J24" s="194">
        <f>'Opportunity Scorecard'!B10</f>
        <v/>
      </c>
      <c r="K24" s="253">
        <f>'Opportunity Scorecard'!N10</f>
        <v/>
      </c>
      <c r="L24" s="170" t="n"/>
      <c r="M24" s="170" t="n"/>
      <c r="N24" s="170" t="n"/>
      <c r="O24" s="170" t="n"/>
      <c r="P24" s="170" t="n"/>
      <c r="Q24" s="170" t="n"/>
    </row>
    <row r="25">
      <c r="A25" s="170" t="n"/>
      <c r="B25" s="170" t="n"/>
      <c r="C25" s="170" t="n"/>
      <c r="D25" s="170" t="n"/>
      <c r="E25" s="170" t="n"/>
      <c r="F25" s="170" t="n"/>
      <c r="G25" s="170" t="n"/>
      <c r="H25" s="170" t="n"/>
      <c r="I25" s="170" t="n"/>
      <c r="J25" s="194">
        <f>'Opportunity Scorecard'!B11</f>
        <v/>
      </c>
      <c r="K25" s="253">
        <f>'Opportunity Scorecard'!N11</f>
        <v/>
      </c>
      <c r="L25" s="170" t="n"/>
      <c r="M25" s="170" t="n"/>
      <c r="N25" s="170" t="n"/>
      <c r="O25" s="170" t="n"/>
      <c r="P25" s="170" t="n"/>
      <c r="Q25" s="170" t="n"/>
    </row>
    <row r="26">
      <c r="A26" s="170" t="n"/>
      <c r="B26" s="170" t="n"/>
      <c r="C26" s="170" t="n"/>
      <c r="D26" s="170" t="n"/>
      <c r="E26" s="170" t="n"/>
      <c r="F26" s="170" t="n"/>
      <c r="G26" s="170" t="n"/>
      <c r="H26" s="170" t="n"/>
      <c r="I26" s="170" t="n"/>
      <c r="J26" s="194">
        <f>'Opportunity Scorecard'!B12</f>
        <v/>
      </c>
      <c r="K26" s="253">
        <f>'Opportunity Scorecard'!N12</f>
        <v/>
      </c>
      <c r="L26" s="170" t="n"/>
      <c r="M26" s="170" t="n"/>
      <c r="N26" s="170" t="n"/>
      <c r="O26" s="170" t="n"/>
      <c r="P26" s="170" t="n"/>
      <c r="Q26" s="170" t="n"/>
    </row>
  </sheetData>
  <mergeCells count="14">
    <mergeCell ref="A4:H4"/>
    <mergeCell ref="J4:Q4"/>
    <mergeCell ref="C19:H19"/>
    <mergeCell ref="A16:H16"/>
    <mergeCell ref="A11:H14"/>
    <mergeCell ref="A10:H10"/>
    <mergeCell ref="A2:Q2"/>
    <mergeCell ref="A5:H8"/>
    <mergeCell ref="C18:H18"/>
    <mergeCell ref="A17:B17"/>
    <mergeCell ref="C17:H17"/>
    <mergeCell ref="A1:Q1"/>
    <mergeCell ref="C21:H21"/>
    <mergeCell ref="C20:H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1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7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3" customWidth="1" min="14" max="14"/>
    <col width="15" customWidth="1" min="15" max="15"/>
    <col width="20" customWidth="1" min="16" max="16"/>
    <col width="11" customWidth="1" min="17" max="17"/>
    <col width="48" customWidth="1" min="18" max="18"/>
    <col width="48" customWidth="1" min="19" max="19"/>
    <col width="23" customWidth="1" min="20" max="20"/>
  </cols>
  <sheetData>
    <row r="1" ht="32" customHeight="1">
      <c r="A1" s="197" t="inlineStr">
        <is>
          <t>Opportunity Scorecard</t>
        </is>
      </c>
    </row>
    <row r="2" ht="30" customHeight="1">
      <c r="A2" s="198" t="inlineStr">
        <is>
          <t>Scores are formula-weighted from Weights &amp; Method. Supplier score below 3 automatically rejects the niche.</t>
        </is>
      </c>
    </row>
    <row r="3">
      <c r="A3" s="170" t="n"/>
      <c r="B3" s="170" t="n"/>
      <c r="C3" s="170" t="n"/>
      <c r="D3" s="170" t="n"/>
      <c r="E3" s="170" t="n"/>
      <c r="F3" s="170" t="n"/>
      <c r="G3" s="170" t="n"/>
      <c r="H3" s="170" t="n"/>
      <c r="I3" s="170" t="n"/>
      <c r="J3" s="170" t="n"/>
      <c r="K3" s="170" t="n"/>
      <c r="L3" s="170" t="n"/>
      <c r="M3" s="170" t="n"/>
      <c r="N3" s="170" t="n"/>
      <c r="O3" s="170" t="n"/>
      <c r="P3" s="170" t="n"/>
      <c r="Q3" s="170" t="n"/>
      <c r="R3" s="170" t="n"/>
      <c r="S3" s="170" t="n"/>
      <c r="T3" s="170" t="n"/>
    </row>
    <row r="4">
      <c r="A4" s="199" t="inlineStr">
        <is>
          <t>Use the score to focus diligence—not to skip it. Yellow supplier cells are the most consequential assumption. Evidence IDs map to Sources.</t>
        </is>
      </c>
    </row>
    <row r="5">
      <c r="A5" s="170" t="n"/>
      <c r="B5" s="170" t="n"/>
      <c r="C5" s="170" t="n"/>
      <c r="D5" s="170" t="n"/>
      <c r="E5" s="170" t="n"/>
      <c r="F5" s="170" t="n"/>
      <c r="G5" s="170" t="n"/>
      <c r="H5" s="170" t="n"/>
      <c r="I5" s="170" t="n"/>
      <c r="J5" s="170" t="n"/>
      <c r="K5" s="170" t="n"/>
      <c r="L5" s="170" t="n"/>
      <c r="M5" s="170" t="n"/>
      <c r="N5" s="170" t="n"/>
      <c r="O5" s="170" t="n"/>
      <c r="P5" s="170" t="n"/>
      <c r="Q5" s="170" t="n"/>
      <c r="R5" s="170" t="n"/>
      <c r="S5" s="170" t="n"/>
      <c r="T5" s="170" t="n"/>
    </row>
    <row r="6">
      <c r="A6" s="234" t="inlineStr">
        <is>
          <t>Rank</t>
        </is>
      </c>
      <c r="B6" s="234" t="inlineStr">
        <is>
          <t>Opportunity</t>
        </is>
      </c>
      <c r="C6" s="234" t="inlineStr">
        <is>
          <t>Product / AOV thesis</t>
        </is>
      </c>
      <c r="D6" s="234" t="inlineStr">
        <is>
          <t>Search tier*</t>
        </is>
      </c>
      <c r="E6" s="234" t="inlineStr">
        <is>
          <t>Supplier defensibility</t>
        </is>
      </c>
      <c r="F6" s="234" t="inlineStr">
        <is>
          <t>Demand evidence</t>
        </is>
      </c>
      <c r="G6" s="234" t="inlineStr">
        <is>
          <t>Competition gap</t>
        </is>
      </c>
      <c r="H6" s="234" t="inlineStr">
        <is>
          <t>AOV and margin potential</t>
        </is>
      </c>
      <c r="I6" s="234" t="inlineStr">
        <is>
          <t>SEO and content fit</t>
        </is>
      </c>
      <c r="J6" s="234" t="inlineStr">
        <is>
          <t>Repeat / cross-sell</t>
        </is>
      </c>
      <c r="K6" s="234" t="inlineStr">
        <is>
          <t>Trend durability</t>
        </is>
      </c>
      <c r="L6" s="234" t="inlineStr">
        <is>
          <t>Operational ease</t>
        </is>
      </c>
      <c r="M6" s="234" t="inlineStr">
        <is>
          <t>Founder fit</t>
        </is>
      </c>
      <c r="N6" s="234" t="inlineStr">
        <is>
          <t>Weighted score</t>
        </is>
      </c>
      <c r="O6" s="234" t="inlineStr">
        <is>
          <t>Supplier gate</t>
        </is>
      </c>
      <c r="P6" s="234" t="inlineStr">
        <is>
          <t>Decision</t>
        </is>
      </c>
      <c r="Q6" s="234" t="inlineStr">
        <is>
          <t>Confidence</t>
        </is>
      </c>
      <c r="R6" s="234" t="inlineStr">
        <is>
          <t>Why it may work</t>
        </is>
      </c>
      <c r="S6" s="234" t="inlineStr">
        <is>
          <t>Main risk</t>
        </is>
      </c>
      <c r="T6" s="234" t="inlineStr">
        <is>
          <t>Evidence IDs</t>
        </is>
      </c>
    </row>
    <row r="7" ht="66" customHeight="1">
      <c r="A7" s="194" t="n">
        <v>1</v>
      </c>
      <c r="B7" s="194" t="inlineStr">
        <is>
          <t>Rainwater &amp; drought-resilience systems</t>
        </is>
      </c>
      <c r="C7" s="194" t="inlineStr">
        <is>
          <t>£1.5k–£7k domestic/SME kits; quote-led commercial systems £15k–£40k</t>
        </is>
      </c>
      <c r="D7" s="194" t="inlineStr">
        <is>
          <t>Medium, rising</t>
        </is>
      </c>
      <c r="E7" s="254" t="n">
        <v>4</v>
      </c>
      <c r="F7" s="253" t="n">
        <v>4.4</v>
      </c>
      <c r="G7" s="253" t="n">
        <v>3.8</v>
      </c>
      <c r="H7" s="253" t="n">
        <v>4.8</v>
      </c>
      <c r="I7" s="253" t="n">
        <v>5</v>
      </c>
      <c r="J7" s="253" t="n">
        <v>3</v>
      </c>
      <c r="K7" s="253" t="n">
        <v>5</v>
      </c>
      <c r="L7" s="253" t="n">
        <v>2</v>
      </c>
      <c r="M7" s="253" t="n">
        <v>4</v>
      </c>
      <c r="N7" s="253">
        <f>SUM(E7*'Weights &amp; Method'!$B$6,F7*'Weights &amp; Method'!$B$7,G7*'Weights &amp; Method'!$B$8,H7*'Weights &amp; Method'!$B$9,I7*'Weights &amp; Method'!$B$10,J7*'Weights &amp; Method'!$B$11,K7*'Weights &amp; Method'!$B$12,L7*'Weights &amp; Method'!$B$13,M7*'Weights &amp; Method'!$B$14)/5</f>
        <v/>
      </c>
      <c r="O7" s="194">
        <f>IF(E7&lt;3,"FAIL",IF(E7&lt;4,"CONDITIONAL","PASS"))</f>
        <v/>
      </c>
      <c r="P7" s="194">
        <f>IF(E7&lt;3,"Reject: supplier gate",IF(E7&lt;4,"Supplier DD",IF(N7&gt;=75,"Priority test",IF(N7&gt;=68,"Supplier DD",IF(N7&gt;=60,"Watchlist","Reject")))))</f>
        <v/>
      </c>
      <c r="Q7" s="194" t="inlineStr">
        <is>
          <t>High</t>
        </is>
      </c>
      <c r="R7" s="194" t="inlineStr">
        <is>
          <t>Exceptional 2026 demand signal plus long-term water deficit; calculator-led sale suits your digital skillset.</t>
        </is>
      </c>
      <c r="S7" s="194" t="inlineStr">
        <is>
          <t>Bulky delivery, design responsibility, installation and standards; many manufacturers also sell direct.</t>
        </is>
      </c>
      <c r="T7" s="194" t="inlineStr">
        <is>
          <t>S14 S15 S16 S17 S18 S73</t>
        </is>
      </c>
    </row>
    <row r="8" ht="66" customHeight="1">
      <c r="A8" s="194" t="n">
        <v>2</v>
      </c>
      <c r="B8" s="194" t="inlineStr">
        <is>
          <t>Performance acoustic room kits</t>
        </is>
      </c>
      <c r="C8" s="194" t="inlineStr">
        <is>
          <t>£600–£2.5k studio, listening-room, podcast and office kits; contract-made/owned range</t>
        </is>
      </c>
      <c r="D8" s="194" t="inlineStr">
        <is>
          <t>High</t>
        </is>
      </c>
      <c r="E8" s="254" t="n">
        <v>4.5</v>
      </c>
      <c r="F8" s="253" t="n">
        <v>4.2</v>
      </c>
      <c r="G8" s="253" t="n">
        <v>3.5</v>
      </c>
      <c r="H8" s="253" t="n">
        <v>4</v>
      </c>
      <c r="I8" s="253" t="n">
        <v>5</v>
      </c>
      <c r="J8" s="253" t="n">
        <v>2.5</v>
      </c>
      <c r="K8" s="253" t="n">
        <v>4</v>
      </c>
      <c r="L8" s="253" t="n">
        <v>3</v>
      </c>
      <c r="M8" s="253" t="n">
        <v>4.5</v>
      </c>
      <c r="N8" s="253">
        <f>SUM(E8*'Weights &amp; Method'!$B$6,F8*'Weights &amp; Method'!$B$7,G8*'Weights &amp; Method'!$B$8,H8*'Weights &amp; Method'!$B$9,I8*'Weights &amp; Method'!$B$10,J8*'Weights &amp; Method'!$B$11,K8*'Weights &amp; Method'!$B$12,L8*'Weights &amp; Method'!$B$13,M8*'Weights &amp; Method'!$B$14)/5</f>
        <v/>
      </c>
      <c r="O8" s="194">
        <f>IF(E8&lt;3,"FAIL",IF(E8&lt;4,"CONDITIONAL","PASS"))</f>
        <v/>
      </c>
      <c r="P8" s="194">
        <f>IF(E8&lt;3,"Reject: supplier gate",IF(E8&lt;4,"Supplier DD",IF(N8&gt;=75,"Priority test",IF(N8&gt;=68,"Supplier DD",IF(N8&gt;=60,"Watchlist","Reject")))))</f>
        <v/>
      </c>
      <c r="Q8" s="194" t="inlineStr">
        <is>
          <t>High</t>
        </is>
      </c>
      <c r="R8" s="194" t="inlineStr">
        <is>
          <t>Strong content surface and custom-kit margin; UK makers/reseller routes exist. Differentiate by measured performance, not décor.</t>
        </is>
      </c>
      <c r="S8" s="194" t="inlineStr">
        <is>
          <t>Generic slat panels are commoditised; fire/acoustic test evidence and bulky shipping are essential.</t>
        </is>
      </c>
      <c r="T8" s="194" t="inlineStr">
        <is>
          <t>S08 S09 S10 S11 S12 S13</t>
        </is>
      </c>
    </row>
    <row r="9" ht="66" customHeight="1">
      <c r="A9" s="194" t="n">
        <v>3</v>
      </c>
      <c r="B9" s="194" t="inlineStr">
        <is>
          <t>Sensory-room packages</t>
        </is>
      </c>
      <c r="C9" s="194" t="inlineStr">
        <is>
          <t>£3k–£15k+ school, care and home packages with design and installation partners</t>
        </is>
      </c>
      <c r="D9" s="194" t="inlineStr">
        <is>
          <t>Medium</t>
        </is>
      </c>
      <c r="E9" s="254" t="n">
        <v>4.5</v>
      </c>
      <c r="F9" s="253" t="n">
        <v>4</v>
      </c>
      <c r="G9" s="253" t="n">
        <v>3.2</v>
      </c>
      <c r="H9" s="253" t="n">
        <v>5</v>
      </c>
      <c r="I9" s="253" t="n">
        <v>4</v>
      </c>
      <c r="J9" s="253" t="n">
        <v>3</v>
      </c>
      <c r="K9" s="253" t="n">
        <v>4.5</v>
      </c>
      <c r="L9" s="253" t="n">
        <v>2</v>
      </c>
      <c r="M9" s="253" t="n">
        <v>3</v>
      </c>
      <c r="N9" s="253">
        <f>SUM(E9*'Weights &amp; Method'!$B$6,F9*'Weights &amp; Method'!$B$7,G9*'Weights &amp; Method'!$B$8,H9*'Weights &amp; Method'!$B$9,I9*'Weights &amp; Method'!$B$10,J9*'Weights &amp; Method'!$B$11,K9*'Weights &amp; Method'!$B$12,L9*'Weights &amp; Method'!$B$13,M9*'Weights &amp; Method'!$B$14)/5</f>
        <v/>
      </c>
      <c r="O9" s="194">
        <f>IF(E9&lt;3,"FAIL",IF(E9&lt;4,"CONDITIONAL","PASS"))</f>
        <v/>
      </c>
      <c r="P9" s="194">
        <f>IF(E9&lt;3,"Reject: supplier gate",IF(E9&lt;4,"Supplier DD",IF(N9&gt;=75,"Priority test",IF(N9&gt;=68,"Supplier DD",IF(N9&gt;=60,"Watchlist","Reject")))))</f>
        <v/>
      </c>
      <c r="Q9" s="194" t="inlineStr">
        <is>
          <t>High</t>
        </is>
      </c>
      <c r="R9" s="194" t="inlineStr">
        <is>
          <t>UK manufacturer explicitly recruits resellers; funded inclusion programme and public procurement routes support demand.</t>
        </is>
      </c>
      <c r="S9" s="194" t="inlineStr">
        <is>
          <t>Consultative/ethical sale, safeguarding and public procurement; expertise and installation matter more than Shopify alone.</t>
        </is>
      </c>
      <c r="T9" s="194" t="inlineStr">
        <is>
          <t>S19 S20 S21 S22 S23</t>
        </is>
      </c>
    </row>
    <row r="10" ht="66" customHeight="1">
      <c r="A10" s="194" t="n">
        <v>4</v>
      </c>
      <c r="B10" s="194" t="inlineStr">
        <is>
          <t>Separating &amp; composting toilet systems</t>
        </is>
      </c>
      <c r="C10" s="194" t="inlineStr">
        <is>
          <t>£300–£1k boat, campervan, cabin and garden-room installation kits plus consumables</t>
        </is>
      </c>
      <c r="D10" s="194" t="inlineStr">
        <is>
          <t>Medium</t>
        </is>
      </c>
      <c r="E10" s="254" t="n">
        <v>4</v>
      </c>
      <c r="F10" s="253" t="n">
        <v>3.5</v>
      </c>
      <c r="G10" s="253" t="n">
        <v>3.5</v>
      </c>
      <c r="H10" s="253" t="n">
        <v>4</v>
      </c>
      <c r="I10" s="253" t="n">
        <v>5</v>
      </c>
      <c r="J10" s="253" t="n">
        <v>4</v>
      </c>
      <c r="K10" s="253" t="n">
        <v>4.3</v>
      </c>
      <c r="L10" s="253" t="n">
        <v>3.5</v>
      </c>
      <c r="M10" s="253" t="n">
        <v>4</v>
      </c>
      <c r="N10" s="253">
        <f>SUM(E10*'Weights &amp; Method'!$B$6,F10*'Weights &amp; Method'!$B$7,G10*'Weights &amp; Method'!$B$8,H10*'Weights &amp; Method'!$B$9,I10*'Weights &amp; Method'!$B$10,J10*'Weights &amp; Method'!$B$11,K10*'Weights &amp; Method'!$B$12,L10*'Weights &amp; Method'!$B$13,M10*'Weights &amp; Method'!$B$14)/5</f>
        <v/>
      </c>
      <c r="O10" s="194">
        <f>IF(E10&lt;3,"FAIL",IF(E10&lt;4,"CONDITIONAL","PASS"))</f>
        <v/>
      </c>
      <c r="P10" s="194">
        <f>IF(E10&lt;3,"Reject: supplier gate",IF(E10&lt;4,"Supplier DD",IF(N10&gt;=75,"Priority test",IF(N10&gt;=68,"Supplier DD",IF(N10&gt;=60,"Watchlist","Reject")))))</f>
        <v/>
      </c>
      <c r="Q10" s="194" t="inlineStr">
        <is>
          <t>High</t>
        </is>
      </c>
      <c r="R10" s="194" t="inlineStr">
        <is>
          <t>Explicit wholesale route, product trend named by a major camping body, clear application-led SEO and repeat consumables.</t>
        </is>
      </c>
      <c r="S10" s="194" t="inlineStr">
        <is>
          <t>Some brands sell direct/affiliate at low commission; odour, fitting and support failures damage trust quickly.</t>
        </is>
      </c>
      <c r="T10" s="194" t="inlineStr">
        <is>
          <t>S24 S25 S26 S27 S28</t>
        </is>
      </c>
    </row>
    <row r="11" ht="66" customHeight="1">
      <c r="A11" s="194" t="n">
        <v>5</v>
      </c>
      <c r="B11" s="194" t="inlineStr">
        <is>
          <t>Pond-health &amp; filtration systems</t>
        </is>
      </c>
      <c r="C11" s="194" t="inlineStr">
        <is>
          <t>£850–£3k koi/large-pond filtration, pumps, UV and treatment bundles</t>
        </is>
      </c>
      <c r="D11" s="194" t="inlineStr">
        <is>
          <t>High, seasonal</t>
        </is>
      </c>
      <c r="E11" s="254" t="n">
        <v>3.5</v>
      </c>
      <c r="F11" s="253" t="n">
        <v>4</v>
      </c>
      <c r="G11" s="253" t="n">
        <v>3</v>
      </c>
      <c r="H11" s="253" t="n">
        <v>4</v>
      </c>
      <c r="I11" s="253" t="n">
        <v>5</v>
      </c>
      <c r="J11" s="253" t="n">
        <v>5</v>
      </c>
      <c r="K11" s="253" t="n">
        <v>3.8</v>
      </c>
      <c r="L11" s="253" t="n">
        <v>2.5</v>
      </c>
      <c r="M11" s="253" t="n">
        <v>4</v>
      </c>
      <c r="N11" s="253">
        <f>SUM(E11*'Weights &amp; Method'!$B$6,F11*'Weights &amp; Method'!$B$7,G11*'Weights &amp; Method'!$B$8,H11*'Weights &amp; Method'!$B$9,I11*'Weights &amp; Method'!$B$10,J11*'Weights &amp; Method'!$B$11,K11*'Weights &amp; Method'!$B$12,L11*'Weights &amp; Method'!$B$13,M11*'Weights &amp; Method'!$B$14)/5</f>
        <v/>
      </c>
      <c r="O11" s="194">
        <f>IF(E11&lt;3,"FAIL",IF(E11&lt;4,"CONDITIONAL","PASS"))</f>
        <v/>
      </c>
      <c r="P11" s="194">
        <f>IF(E11&lt;3,"Reject: supplier gate",IF(E11&lt;4,"Supplier DD",IF(N11&gt;=75,"Priority test",IF(N11&gt;=68,"Supplier DD",IF(N11&gt;=60,"Watchlist","Reject")))))</f>
        <v/>
      </c>
      <c r="Q11" s="194" t="inlineStr">
        <is>
          <t>High</t>
        </is>
      </c>
      <c r="R11" s="194" t="inlineStr">
        <is>
          <t>High-value upper end, recurring media/treatments and sizing content; established dealer/wholesale channels.</t>
        </is>
      </c>
      <c r="S11" s="194" t="inlineStr">
        <is>
          <t>Mature specialists, seasonality, bulky wet products and technical sizing/warranty support.</t>
        </is>
      </c>
      <c r="T11" s="194" t="inlineStr">
        <is>
          <t>S29 S30 S31 S32 S33</t>
        </is>
      </c>
    </row>
    <row r="12" ht="66" customHeight="1">
      <c r="A12" s="194" t="n">
        <v>6</v>
      </c>
      <c r="B12" s="194" t="inlineStr">
        <is>
          <t>Microcement installer systems</t>
        </is>
      </c>
      <c r="C12" s="194" t="inlineStr">
        <is>
          <t>Professional system kits, training and recurring installer consumables</t>
        </is>
      </c>
      <c r="D12" s="194" t="inlineStr">
        <is>
          <t>High</t>
        </is>
      </c>
      <c r="E12" s="254" t="n">
        <v>3</v>
      </c>
      <c r="F12" s="253" t="n">
        <v>4</v>
      </c>
      <c r="G12" s="253" t="n">
        <v>3</v>
      </c>
      <c r="H12" s="253" t="n">
        <v>4</v>
      </c>
      <c r="I12" s="253" t="n">
        <v>4.5</v>
      </c>
      <c r="J12" s="253" t="n">
        <v>5</v>
      </c>
      <c r="K12" s="253" t="n">
        <v>4</v>
      </c>
      <c r="L12" s="253" t="n">
        <v>2.5</v>
      </c>
      <c r="M12" s="253" t="n">
        <v>4</v>
      </c>
      <c r="N12" s="253">
        <f>SUM(E12*'Weights &amp; Method'!$B$6,F12*'Weights &amp; Method'!$B$7,G12*'Weights &amp; Method'!$B$8,H12*'Weights &amp; Method'!$B$9,I12*'Weights &amp; Method'!$B$10,J12*'Weights &amp; Method'!$B$11,K12*'Weights &amp; Method'!$B$12,L12*'Weights &amp; Method'!$B$13,M12*'Weights &amp; Method'!$B$14)/5</f>
        <v/>
      </c>
      <c r="O12" s="194">
        <f>IF(E12&lt;3,"FAIL",IF(E12&lt;4,"CONDITIONAL","PASS"))</f>
        <v/>
      </c>
      <c r="P12" s="194">
        <f>IF(E12&lt;3,"Reject: supplier gate",IF(E12&lt;4,"Supplier DD",IF(N12&gt;=75,"Priority test",IF(N12&gt;=68,"Supplier DD",IF(N12&gt;=60,"Watchlist","Reject")))))</f>
        <v/>
      </c>
      <c r="Q12" s="194" t="inlineStr">
        <is>
          <t>Medium</t>
        </is>
      </c>
      <c r="R12" s="194" t="inlineStr">
        <is>
          <t>Growing design-led surface category with excellent repeat consumables and certification-led community model.</t>
        </is>
      </c>
      <c r="S12" s="194" t="inlineStr">
        <is>
          <t>Leading systems restrict purchase to trained installers; technical failure and waterproofing claims carry liability.</t>
        </is>
      </c>
      <c r="T12" s="194" t="inlineStr">
        <is>
          <t>S46 S47</t>
        </is>
      </c>
    </row>
    <row r="13" ht="66" customHeight="1">
      <c r="A13" s="194" t="n">
        <v>7</v>
      </c>
      <c r="B13" s="194" t="inlineStr">
        <is>
          <t>Golf simulator components &amp; rooms</t>
        </is>
      </c>
      <c r="C13" s="194" t="inlineStr">
        <is>
          <t>£1.5k–£25k+ DIY-to-installed simulator packages, mats, screens and monitors</t>
        </is>
      </c>
      <c r="D13" s="194" t="inlineStr">
        <is>
          <t>High</t>
        </is>
      </c>
      <c r="E13" s="254" t="n">
        <v>3</v>
      </c>
      <c r="F13" s="253" t="n">
        <v>4</v>
      </c>
      <c r="G13" s="253" t="n">
        <v>2.5</v>
      </c>
      <c r="H13" s="253" t="n">
        <v>5</v>
      </c>
      <c r="I13" s="253" t="n">
        <v>4.5</v>
      </c>
      <c r="J13" s="253" t="n">
        <v>3.5</v>
      </c>
      <c r="K13" s="253" t="n">
        <v>4.3</v>
      </c>
      <c r="L13" s="253" t="n">
        <v>1.5</v>
      </c>
      <c r="M13" s="253" t="n">
        <v>3.5</v>
      </c>
      <c r="N13" s="253">
        <f>SUM(E13*'Weights &amp; Method'!$B$6,F13*'Weights &amp; Method'!$B$7,G13*'Weights &amp; Method'!$B$8,H13*'Weights &amp; Method'!$B$9,I13*'Weights &amp; Method'!$B$10,J13*'Weights &amp; Method'!$B$11,K13*'Weights &amp; Method'!$B$12,L13*'Weights &amp; Method'!$B$13,M13*'Weights &amp; Method'!$B$14)/5</f>
        <v/>
      </c>
      <c r="O13" s="194">
        <f>IF(E13&lt;3,"FAIL",IF(E13&lt;4,"CONDITIONAL","PASS"))</f>
        <v/>
      </c>
      <c r="P13" s="194">
        <f>IF(E13&lt;3,"Reject: supplier gate",IF(E13&lt;4,"Supplier DD",IF(N13&gt;=75,"Priority test",IF(N13&gt;=68,"Supplier DD",IF(N13&gt;=60,"Watchlist","Reject")))))</f>
        <v/>
      </c>
      <c r="Q13" s="194" t="inlineStr">
        <is>
          <t>Medium</t>
        </is>
      </c>
      <c r="R13" s="194" t="inlineStr">
        <is>
          <t>Large AOV and clear comparison/search journey; manufacturer partner programmes exist.</t>
        </is>
      </c>
      <c r="S13" s="194" t="inlineStr">
        <is>
          <t>Crowded installers, fast hardware cycles and software subscriptions; check conflict with your golf client.</t>
        </is>
      </c>
      <c r="T13" s="194" t="inlineStr">
        <is>
          <t>S48 S49 S75 S76</t>
        </is>
      </c>
    </row>
    <row r="14" ht="66" customHeight="1">
      <c r="A14" s="194" t="n">
        <v>8</v>
      </c>
      <c r="B14" s="194" t="inlineStr">
        <is>
          <t>Electric outboards</t>
        </is>
      </c>
      <c r="C14" s="194" t="inlineStr">
        <is>
          <t>£1k–£8k electric motors and battery/charging packages with regional demo/service</t>
        </is>
      </c>
      <c r="D14" s="194" t="inlineStr">
        <is>
          <t>Medium</t>
        </is>
      </c>
      <c r="E14" s="254" t="n">
        <v>3.5</v>
      </c>
      <c r="F14" s="253" t="n">
        <v>3.2</v>
      </c>
      <c r="G14" s="253" t="n">
        <v>2.8</v>
      </c>
      <c r="H14" s="253" t="n">
        <v>5</v>
      </c>
      <c r="I14" s="253" t="n">
        <v>4</v>
      </c>
      <c r="J14" s="253" t="n">
        <v>3</v>
      </c>
      <c r="K14" s="253" t="n">
        <v>4.5</v>
      </c>
      <c r="L14" s="253" t="n">
        <v>1.5</v>
      </c>
      <c r="M14" s="253" t="n">
        <v>3</v>
      </c>
      <c r="N14" s="253">
        <f>SUM(E14*'Weights &amp; Method'!$B$6,F14*'Weights &amp; Method'!$B$7,G14*'Weights &amp; Method'!$B$8,H14*'Weights &amp; Method'!$B$9,I14*'Weights &amp; Method'!$B$10,J14*'Weights &amp; Method'!$B$11,K14*'Weights &amp; Method'!$B$12,L14*'Weights &amp; Method'!$B$13,M14*'Weights &amp; Method'!$B$14)/5</f>
        <v/>
      </c>
      <c r="O14" s="194">
        <f>IF(E14&lt;3,"FAIL",IF(E14&lt;4,"CONDITIONAL","PASS"))</f>
        <v/>
      </c>
      <c r="P14" s="194">
        <f>IF(E14&lt;3,"Reject: supplier gate",IF(E14&lt;4,"Supplier DD",IF(N14&gt;=75,"Priority test",IF(N14&gt;=68,"Supplier DD",IF(N14&gt;=60,"Watchlist","Reject")))))</f>
        <v/>
      </c>
      <c r="Q14" s="194" t="inlineStr">
        <is>
          <t>High</t>
        </is>
      </c>
      <c r="R14" s="194" t="inlineStr">
        <is>
          <t>Dealer programmes, premium AOV and structural electrification trend.</t>
        </is>
      </c>
      <c r="S14" s="194" t="inlineStr">
        <is>
          <t>Battery freight, demo/service expectations and established south-coast dealer networks make pure ecommerce weak.</t>
        </is>
      </c>
      <c r="T14" s="194" t="inlineStr">
        <is>
          <t>S38 S39 S40 S41</t>
        </is>
      </c>
    </row>
    <row r="15" ht="66" customHeight="1">
      <c r="A15" s="194" t="n">
        <v>9</v>
      </c>
      <c r="B15" s="194" t="inlineStr">
        <is>
          <t>Home pottery studio systems</t>
        </is>
      </c>
      <c r="C15" s="194" t="inlineStr">
        <is>
          <t>£1.5k–£5k wheel/kiln/starter packages plus clay, glazes and firing accessories</t>
        </is>
      </c>
      <c r="D15" s="194" t="inlineStr">
        <is>
          <t>Medium</t>
        </is>
      </c>
      <c r="E15" s="254" t="n">
        <v>3</v>
      </c>
      <c r="F15" s="253" t="n">
        <v>3.5</v>
      </c>
      <c r="G15" s="253" t="n">
        <v>2.5</v>
      </c>
      <c r="H15" s="253" t="n">
        <v>5</v>
      </c>
      <c r="I15" s="253" t="n">
        <v>4.5</v>
      </c>
      <c r="J15" s="253" t="n">
        <v>5</v>
      </c>
      <c r="K15" s="253" t="n">
        <v>4</v>
      </c>
      <c r="L15" s="253" t="n">
        <v>1.5</v>
      </c>
      <c r="M15" s="253" t="n">
        <v>3</v>
      </c>
      <c r="N15" s="253">
        <f>SUM(E15*'Weights &amp; Method'!$B$6,F15*'Weights &amp; Method'!$B$7,G15*'Weights &amp; Method'!$B$8,H15*'Weights &amp; Method'!$B$9,I15*'Weights &amp; Method'!$B$10,J15*'Weights &amp; Method'!$B$11,K15*'Weights &amp; Method'!$B$12,L15*'Weights &amp; Method'!$B$13,M15*'Weights &amp; Method'!$B$14)/5</f>
        <v/>
      </c>
      <c r="O15" s="194">
        <f>IF(E15&lt;3,"FAIL",IF(E15&lt;4,"CONDITIONAL","PASS"))</f>
        <v/>
      </c>
      <c r="P15" s="194">
        <f>IF(E15&lt;3,"Reject: supplier gate",IF(E15&lt;4,"Supplier DD",IF(N15&gt;=75,"Priority test",IF(N15&gt;=68,"Supplier DD",IF(N15&gt;=60,"Watchlist","Reject")))))</f>
        <v/>
      </c>
      <c r="Q15" s="194" t="inlineStr">
        <is>
          <t>High</t>
        </is>
      </c>
      <c r="R15" s="194" t="inlineStr">
        <is>
          <t>Very high AOV with excellent consumables and education/community potential.</t>
        </is>
      </c>
      <c r="S15" s="194" t="inlineStr">
        <is>
          <t>Entrenched technical dealers, price matching, long lead times, electrical/install support and heavy freight.</t>
        </is>
      </c>
      <c r="T15" s="194" t="inlineStr">
        <is>
          <t>S42 S43 S44 S45</t>
        </is>
      </c>
    </row>
    <row r="16" ht="66" customHeight="1">
      <c r="A16" s="194" t="n">
        <v>10</v>
      </c>
      <c r="B16" s="194" t="inlineStr">
        <is>
          <t>Building diagnostic kits</t>
        </is>
      </c>
      <c r="C16" s="194" t="inlineStr">
        <is>
          <t>£1k–£3.5k thermal camera + moisture/borescope + training/report-template bundles</t>
        </is>
      </c>
      <c r="D16" s="194" t="inlineStr">
        <is>
          <t>High</t>
        </is>
      </c>
      <c r="E16" s="254" t="n">
        <v>3</v>
      </c>
      <c r="F16" s="253" t="n">
        <v>3.8</v>
      </c>
      <c r="G16" s="253" t="n">
        <v>2.8</v>
      </c>
      <c r="H16" s="253" t="n">
        <v>4</v>
      </c>
      <c r="I16" s="253" t="n">
        <v>5</v>
      </c>
      <c r="J16" s="253" t="n">
        <v>2.5</v>
      </c>
      <c r="K16" s="253" t="n">
        <v>4</v>
      </c>
      <c r="L16" s="253" t="n">
        <v>3</v>
      </c>
      <c r="M16" s="253" t="n">
        <v>4</v>
      </c>
      <c r="N16" s="253">
        <f>SUM(E16*'Weights &amp; Method'!$B$6,F16*'Weights &amp; Method'!$B$7,G16*'Weights &amp; Method'!$B$8,H16*'Weights &amp; Method'!$B$9,I16*'Weights &amp; Method'!$B$10,J16*'Weights &amp; Method'!$B$11,K16*'Weights &amp; Method'!$B$12,L16*'Weights &amp; Method'!$B$13,M16*'Weights &amp; Method'!$B$14)/5</f>
        <v/>
      </c>
      <c r="O16" s="194">
        <f>IF(E16&lt;3,"FAIL",IF(E16&lt;4,"CONDITIONAL","PASS"))</f>
        <v/>
      </c>
      <c r="P16" s="194">
        <f>IF(E16&lt;3,"Reject: supplier gate",IF(E16&lt;4,"Supplier DD",IF(N16&gt;=75,"Priority test",IF(N16&gt;=68,"Supplier DD",IF(N16&gt;=60,"Watchlist","Reject")))))</f>
        <v/>
      </c>
      <c r="Q16" s="194" t="inlineStr">
        <is>
          <t>High</t>
        </is>
      </c>
      <c r="R16" s="194" t="inlineStr">
        <is>
          <t>Excellent B2B comparison/content opportunity and strong AOV; retrofit/EPC change keeps diagnostics relevant.</t>
        </is>
      </c>
      <c r="S16" s="194" t="inlineStr">
        <is>
          <t>Master distributors are strong, low-end cameras are commoditised, and training/calibration support is expected.</t>
        </is>
      </c>
      <c r="T16" s="194" t="inlineStr">
        <is>
          <t>S34 S35 S36 S37</t>
        </is>
      </c>
    </row>
    <row r="17" ht="66" customHeight="1">
      <c r="A17" s="194" t="n">
        <v>11</v>
      </c>
      <c r="B17" s="194" t="inlineStr">
        <is>
          <t>Sewing &amp; embroidery machines</t>
        </is>
      </c>
      <c r="C17" s="194" t="inlineStr">
        <is>
          <t>£500–£10k machines with training, servicing and recurring thread/stabiliser/accessories</t>
        </is>
      </c>
      <c r="D17" s="194" t="inlineStr">
        <is>
          <t>Very high</t>
        </is>
      </c>
      <c r="E17" s="254" t="n">
        <v>3</v>
      </c>
      <c r="F17" s="253" t="n">
        <v>4.2</v>
      </c>
      <c r="G17" s="253" t="n">
        <v>2</v>
      </c>
      <c r="H17" s="253" t="n">
        <v>5</v>
      </c>
      <c r="I17" s="253" t="n">
        <v>4</v>
      </c>
      <c r="J17" s="253" t="n">
        <v>5</v>
      </c>
      <c r="K17" s="253" t="n">
        <v>4</v>
      </c>
      <c r="L17" s="253" t="n">
        <v>1.5</v>
      </c>
      <c r="M17" s="253" t="n">
        <v>3</v>
      </c>
      <c r="N17" s="253">
        <f>SUM(E17*'Weights &amp; Method'!$B$6,F17*'Weights &amp; Method'!$B$7,G17*'Weights &amp; Method'!$B$8,H17*'Weights &amp; Method'!$B$9,I17*'Weights &amp; Method'!$B$10,J17*'Weights &amp; Method'!$B$11,K17*'Weights &amp; Method'!$B$12,L17*'Weights &amp; Method'!$B$13,M17*'Weights &amp; Method'!$B$14)/5</f>
        <v/>
      </c>
      <c r="O17" s="194">
        <f>IF(E17&lt;3,"FAIL",IF(E17&lt;4,"CONDITIONAL","PASS"))</f>
        <v/>
      </c>
      <c r="P17" s="194">
        <f>IF(E17&lt;3,"Reject: supplier gate",IF(E17&lt;4,"Supplier DD",IF(N17&gt;=75,"Priority test",IF(N17&gt;=68,"Supplier DD",IF(N17&gt;=60,"Watchlist","Reject")))))</f>
        <v/>
      </c>
      <c r="Q17" s="194" t="inlineStr">
        <is>
          <t>High</t>
        </is>
      </c>
      <c r="R17" s="194" t="inlineStr">
        <is>
          <t>Current UK participation signal, large AOV ladder and powerful recurring consumables.</t>
        </is>
      </c>
      <c r="S17" s="194" t="inlineStr">
        <is>
          <t>Mature showroom/service incumbents, finance and trade-in expectations; difficult to enter without repair capability.</t>
        </is>
      </c>
      <c r="T17" s="194" t="inlineStr">
        <is>
          <t>S63 S64</t>
        </is>
      </c>
    </row>
    <row r="18" ht="66" customHeight="1">
      <c r="A18" s="194" t="n">
        <v>12</v>
      </c>
      <c r="B18" s="194" t="inlineStr">
        <is>
          <t>Commercial/home Pilates reformers</t>
        </is>
      </c>
      <c r="C18" s="194" t="inlineStr">
        <is>
          <t>£1.2k–£3.5k reformers; studio packs, delivery/setup and accessories</t>
        </is>
      </c>
      <c r="D18" s="194" t="inlineStr">
        <is>
          <t>Very high</t>
        </is>
      </c>
      <c r="E18" s="254" t="n">
        <v>2.5</v>
      </c>
      <c r="F18" s="253" t="n">
        <v>4.8</v>
      </c>
      <c r="G18" s="253" t="n">
        <v>2</v>
      </c>
      <c r="H18" s="253" t="n">
        <v>5</v>
      </c>
      <c r="I18" s="253" t="n">
        <v>4.5</v>
      </c>
      <c r="J18" s="253" t="n">
        <v>3</v>
      </c>
      <c r="K18" s="253" t="n">
        <v>4.5</v>
      </c>
      <c r="L18" s="253" t="n">
        <v>2</v>
      </c>
      <c r="M18" s="253" t="n">
        <v>3</v>
      </c>
      <c r="N18" s="253">
        <f>SUM(E18*'Weights &amp; Method'!$B$6,F18*'Weights &amp; Method'!$B$7,G18*'Weights &amp; Method'!$B$8,H18*'Weights &amp; Method'!$B$9,I18*'Weights &amp; Method'!$B$10,J18*'Weights &amp; Method'!$B$11,K18*'Weights &amp; Method'!$B$12,L18*'Weights &amp; Method'!$B$13,M18*'Weights &amp; Method'!$B$14)/5</f>
        <v/>
      </c>
      <c r="O18" s="194">
        <f>IF(E18&lt;3,"FAIL",IF(E18&lt;4,"CONDITIONAL","PASS"))</f>
        <v/>
      </c>
      <c r="P18" s="194">
        <f>IF(E18&lt;3,"Reject: supplier gate",IF(E18&lt;4,"Supplier DD",IF(N18&gt;=75,"Priority test",IF(N18&gt;=68,"Supplier DD",IF(N18&gt;=60,"Watchlist","Reject")))))</f>
        <v/>
      </c>
      <c r="Q18" s="194" t="inlineStr">
        <is>
          <t>Medium</t>
        </is>
      </c>
      <c r="R18" s="194" t="inlineStr">
        <is>
          <t>Exceptional current demand and AOV; OEM/private-label supply is available.</t>
        </is>
      </c>
      <c r="S18" s="194" t="inlineStr">
        <is>
          <t>Price compression from mass retail, bulky returns, safety/warranty and intense DTC/social competition.</t>
        </is>
      </c>
      <c r="T18" s="194" t="inlineStr">
        <is>
          <t>S50 S51</t>
        </is>
      </c>
    </row>
    <row r="19" ht="66" customHeight="1">
      <c r="A19" s="194" t="n">
        <v>13</v>
      </c>
      <c r="B19" s="194" t="inlineStr">
        <is>
          <t>Cold-plunge &amp; contrast therapy systems</t>
        </is>
      </c>
      <c r="C19" s="194" t="inlineStr">
        <is>
          <t>£1k–£8k tubs, chillers and sauna/plunge packages for home and commercial buyers</t>
        </is>
      </c>
      <c r="D19" s="194" t="inlineStr">
        <is>
          <t>High</t>
        </is>
      </c>
      <c r="E19" s="254" t="n">
        <v>3</v>
      </c>
      <c r="F19" s="253" t="n">
        <v>4</v>
      </c>
      <c r="G19" s="253" t="n">
        <v>2</v>
      </c>
      <c r="H19" s="253" t="n">
        <v>5</v>
      </c>
      <c r="I19" s="253" t="n">
        <v>4</v>
      </c>
      <c r="J19" s="253" t="n">
        <v>3</v>
      </c>
      <c r="K19" s="253" t="n">
        <v>3</v>
      </c>
      <c r="L19" s="253" t="n">
        <v>1.5</v>
      </c>
      <c r="M19" s="253" t="n">
        <v>3</v>
      </c>
      <c r="N19" s="253">
        <f>SUM(E19*'Weights &amp; Method'!$B$6,F19*'Weights &amp; Method'!$B$7,G19*'Weights &amp; Method'!$B$8,H19*'Weights &amp; Method'!$B$9,I19*'Weights &amp; Method'!$B$10,J19*'Weights &amp; Method'!$B$11,K19*'Weights &amp; Method'!$B$12,L19*'Weights &amp; Method'!$B$13,M19*'Weights &amp; Method'!$B$14)/5</f>
        <v/>
      </c>
      <c r="O19" s="194">
        <f>IF(E19&lt;3,"FAIL",IF(E19&lt;4,"CONDITIONAL","PASS"))</f>
        <v/>
      </c>
      <c r="P19" s="194">
        <f>IF(E19&lt;3,"Reject: supplier gate",IF(E19&lt;4,"Supplier DD",IF(N19&gt;=75,"Priority test",IF(N19&gt;=68,"Supplier DD",IF(N19&gt;=60,"Watchlist","Reject")))))</f>
        <v/>
      </c>
      <c r="Q19" s="194" t="inlineStr">
        <is>
          <t>Medium</t>
        </is>
      </c>
      <c r="R19" s="194" t="inlineStr">
        <is>
          <t>High AOV, B2B trade programmes and strong wellness attention.</t>
        </is>
      </c>
      <c r="S19" s="194" t="inlineStr">
        <is>
          <t>Fad risk, health claims, water/electrical safety, chiller failures and bulky warranty logistics.</t>
        </is>
      </c>
      <c r="T19" s="194" t="inlineStr">
        <is>
          <t>S52 S77</t>
        </is>
      </c>
    </row>
    <row r="20" ht="66" customHeight="1">
      <c r="A20" s="194" t="n">
        <v>14</v>
      </c>
      <c r="B20" s="194" t="inlineStr">
        <is>
          <t>Garden irrigation systems</t>
        </is>
      </c>
      <c r="C20" s="194" t="inlineStr">
        <is>
          <t>£100–£1k design-led drip/smart irrigation and water-storage bundles</t>
        </is>
      </c>
      <c r="D20" s="194" t="inlineStr">
        <is>
          <t>High, seasonal</t>
        </is>
      </c>
      <c r="E20" s="254" t="n">
        <v>3</v>
      </c>
      <c r="F20" s="253" t="n">
        <v>4.2</v>
      </c>
      <c r="G20" s="253" t="n">
        <v>2.2</v>
      </c>
      <c r="H20" s="253" t="n">
        <v>2.5</v>
      </c>
      <c r="I20" s="253" t="n">
        <v>4.5</v>
      </c>
      <c r="J20" s="253" t="n">
        <v>4</v>
      </c>
      <c r="K20" s="253" t="n">
        <v>4</v>
      </c>
      <c r="L20" s="253" t="n">
        <v>3</v>
      </c>
      <c r="M20" s="253" t="n">
        <v>4</v>
      </c>
      <c r="N20" s="253">
        <f>SUM(E20*'Weights &amp; Method'!$B$6,F20*'Weights &amp; Method'!$B$7,G20*'Weights &amp; Method'!$B$8,H20*'Weights &amp; Method'!$B$9,I20*'Weights &amp; Method'!$B$10,J20*'Weights &amp; Method'!$B$11,K20*'Weights &amp; Method'!$B$12,L20*'Weights &amp; Method'!$B$13,M20*'Weights &amp; Method'!$B$14)/5</f>
        <v/>
      </c>
      <c r="O20" s="194">
        <f>IF(E20&lt;3,"FAIL",IF(E20&lt;4,"CONDITIONAL","PASS"))</f>
        <v/>
      </c>
      <c r="P20" s="194">
        <f>IF(E20&lt;3,"Reject: supplier gate",IF(E20&lt;4,"Supplier DD",IF(N20&gt;=75,"Priority test",IF(N20&gt;=68,"Supplier DD",IF(N20&gt;=60,"Watchlist","Reject")))))</f>
        <v/>
      </c>
      <c r="Q20" s="194" t="inlineStr">
        <is>
          <t>High</t>
        </is>
      </c>
      <c r="R20" s="194" t="inlineStr">
        <is>
          <t>Strong current drought-driven problem and rich calculator/content surface.</t>
        </is>
      </c>
      <c r="S20" s="194" t="inlineStr">
        <is>
          <t>Core kits are low AOV and mature; mains-fed use is restricted during hosepipe bans. Better folded into rainwater.</t>
        </is>
      </c>
      <c r="T20" s="194" t="inlineStr">
        <is>
          <t>S14 S71 S72 S73</t>
        </is>
      </c>
    </row>
    <row r="21" ht="66" customHeight="1">
      <c r="A21" s="194" t="n">
        <v>15</v>
      </c>
      <c r="B21" s="194" t="inlineStr">
        <is>
          <t>Robotic lawn mowers</t>
        </is>
      </c>
      <c r="C21" s="194" t="inlineStr">
        <is>
          <t>£800–£4k robots plus regional survey, installation, blades and servicing</t>
        </is>
      </c>
      <c r="D21" s="194" t="inlineStr">
        <is>
          <t>Very high</t>
        </is>
      </c>
      <c r="E21" s="254" t="n">
        <v>2.5</v>
      </c>
      <c r="F21" s="253" t="n">
        <v>4.3</v>
      </c>
      <c r="G21" s="253" t="n">
        <v>2</v>
      </c>
      <c r="H21" s="253" t="n">
        <v>4.5</v>
      </c>
      <c r="I21" s="253" t="n">
        <v>4</v>
      </c>
      <c r="J21" s="253" t="n">
        <v>3</v>
      </c>
      <c r="K21" s="253" t="n">
        <v>4.5</v>
      </c>
      <c r="L21" s="253" t="n">
        <v>1.5</v>
      </c>
      <c r="M21" s="253" t="n">
        <v>3</v>
      </c>
      <c r="N21" s="253">
        <f>SUM(E21*'Weights &amp; Method'!$B$6,F21*'Weights &amp; Method'!$B$7,G21*'Weights &amp; Method'!$B$8,H21*'Weights &amp; Method'!$B$9,I21*'Weights &amp; Method'!$B$10,J21*'Weights &amp; Method'!$B$11,K21*'Weights &amp; Method'!$B$12,L21*'Weights &amp; Method'!$B$13,M21*'Weights &amp; Method'!$B$14)/5</f>
        <v/>
      </c>
      <c r="O21" s="194">
        <f>IF(E21&lt;3,"FAIL",IF(E21&lt;4,"CONDITIONAL","PASS"))</f>
        <v/>
      </c>
      <c r="P21" s="194">
        <f>IF(E21&lt;3,"Reject: supplier gate",IF(E21&lt;4,"Supplier DD",IF(N21&gt;=75,"Priority test",IF(N21&gt;=68,"Supplier DD",IF(N21&gt;=60,"Watchlist","Reject")))))</f>
        <v/>
      </c>
      <c r="Q21" s="194" t="inlineStr">
        <is>
          <t>High</t>
        </is>
      </c>
      <c r="R21" s="194" t="inlineStr">
        <is>
          <t>Fast-growing demand and high AOV.</t>
        </is>
      </c>
      <c r="S21" s="194" t="inlineStr">
        <is>
          <t>Manufacturer DTC, exclusive distribution, rapid obsolescence and local install/service dependency.</t>
        </is>
      </c>
      <c r="T21" s="194" t="inlineStr">
        <is>
          <t>S55 S56</t>
        </is>
      </c>
    </row>
    <row r="22" ht="66" customHeight="1">
      <c r="A22" s="194" t="n">
        <v>16</v>
      </c>
      <c r="B22" s="194" t="inlineStr">
        <is>
          <t>Premium freediving equipment</t>
        </is>
      </c>
      <c r="C22" s="194" t="inlineStr">
        <is>
          <t>£400–£1.2k premium fit-led packages: carbon fins, wetsuits, computers and safety gear</t>
        </is>
      </c>
      <c r="D22" s="194" t="inlineStr">
        <is>
          <t>Niche</t>
        </is>
      </c>
      <c r="E22" s="254" t="n">
        <v>2</v>
      </c>
      <c r="F22" s="253" t="n">
        <v>2.7</v>
      </c>
      <c r="G22" s="253" t="n">
        <v>3.2</v>
      </c>
      <c r="H22" s="253" t="n">
        <v>4</v>
      </c>
      <c r="I22" s="253" t="n">
        <v>5</v>
      </c>
      <c r="J22" s="253" t="n">
        <v>3.5</v>
      </c>
      <c r="K22" s="253" t="n">
        <v>3.5</v>
      </c>
      <c r="L22" s="253" t="n">
        <v>3</v>
      </c>
      <c r="M22" s="253" t="n">
        <v>5</v>
      </c>
      <c r="N22" s="253">
        <f>SUM(E22*'Weights &amp; Method'!$B$6,F22*'Weights &amp; Method'!$B$7,G22*'Weights &amp; Method'!$B$8,H22*'Weights &amp; Method'!$B$9,I22*'Weights &amp; Method'!$B$10,J22*'Weights &amp; Method'!$B$11,K22*'Weights &amp; Method'!$B$12,L22*'Weights &amp; Method'!$B$13,M22*'Weights &amp; Method'!$B$14)/5</f>
        <v/>
      </c>
      <c r="O22" s="194">
        <f>IF(E22&lt;3,"FAIL",IF(E22&lt;4,"CONDITIONAL","PASS"))</f>
        <v/>
      </c>
      <c r="P22" s="194">
        <f>IF(E22&lt;3,"Reject: supplier gate",IF(E22&lt;4,"Supplier DD",IF(N22&gt;=75,"Priority test",IF(N22&gt;=68,"Supplier DD",IF(N22&gt;=60,"Watchlist","Reject")))))</f>
        <v/>
      </c>
      <c r="Q22" s="194" t="inlineStr">
        <is>
          <t>High</t>
        </is>
      </c>
      <c r="R22" s="194" t="inlineStr">
        <is>
          <t>Authentic founder interest, active UK clubs, premium products and excellent specialist content potential.</t>
        </is>
      </c>
      <c r="S22" s="194" t="inlineStr">
        <is>
          <t>Small TAM; Diveinn removes much import friction; key brands sell direct or already have UK specialists.</t>
        </is>
      </c>
      <c r="T22" s="194" t="inlineStr">
        <is>
          <t>S01 S02 S03 S04 S05 S06 S07</t>
        </is>
      </c>
    </row>
    <row r="23" ht="66" customHeight="1">
      <c r="A23" s="194" t="n">
        <v>17</v>
      </c>
      <c r="B23" s="194" t="inlineStr">
        <is>
          <t>Workshop dust extraction</t>
        </is>
      </c>
      <c r="C23" s="194" t="inlineStr">
        <is>
          <t>£300–£2k extractor/ducting/filtration bundles for serious home workshops</t>
        </is>
      </c>
      <c r="D23" s="194" t="inlineStr">
        <is>
          <t>High</t>
        </is>
      </c>
      <c r="E23" s="254" t="n">
        <v>3</v>
      </c>
      <c r="F23" s="253" t="n">
        <v>3.5</v>
      </c>
      <c r="G23" s="253" t="n">
        <v>2.4</v>
      </c>
      <c r="H23" s="253" t="n">
        <v>3.5</v>
      </c>
      <c r="I23" s="253" t="n">
        <v>4</v>
      </c>
      <c r="J23" s="253" t="n">
        <v>4</v>
      </c>
      <c r="K23" s="253" t="n">
        <v>3.5</v>
      </c>
      <c r="L23" s="253" t="n">
        <v>2.5</v>
      </c>
      <c r="M23" s="253" t="n">
        <v>3.5</v>
      </c>
      <c r="N23" s="253">
        <f>SUM(E23*'Weights &amp; Method'!$B$6,F23*'Weights &amp; Method'!$B$7,G23*'Weights &amp; Method'!$B$8,H23*'Weights &amp; Method'!$B$9,I23*'Weights &amp; Method'!$B$10,J23*'Weights &amp; Method'!$B$11,K23*'Weights &amp; Method'!$B$12,L23*'Weights &amp; Method'!$B$13,M23*'Weights &amp; Method'!$B$14)/5</f>
        <v/>
      </c>
      <c r="O23" s="194">
        <f>IF(E23&lt;3,"FAIL",IF(E23&lt;4,"CONDITIONAL","PASS"))</f>
        <v/>
      </c>
      <c r="P23" s="194">
        <f>IF(E23&lt;3,"Reject: supplier gate",IF(E23&lt;4,"Supplier DD",IF(N23&gt;=75,"Priority test",IF(N23&gt;=68,"Supplier DD",IF(N23&gt;=60,"Watchlist","Reject")))))</f>
        <v/>
      </c>
      <c r="Q23" s="194" t="inlineStr">
        <is>
          <t>Medium</t>
        </is>
      </c>
      <c r="R23" s="194" t="inlineStr">
        <is>
          <t>Technical content and accessories fit; established dealer models and repeat filters/ducting.</t>
        </is>
      </c>
      <c r="S23" s="194" t="inlineStr">
        <is>
          <t>Mature machinery retailers, moderate AOV and bulky/noisy warranty issues.</t>
        </is>
      </c>
      <c r="T23" s="194" t="inlineStr">
        <is>
          <t>S57 S78</t>
        </is>
      </c>
    </row>
    <row r="24" ht="66" customHeight="1">
      <c r="A24" s="194" t="n">
        <v>18</v>
      </c>
      <c r="B24" s="194" t="inlineStr">
        <is>
          <t>EVSE installer test kits</t>
        </is>
      </c>
      <c r="C24" s="194" t="inlineStr">
        <is>
          <t>£700–£3k EV charger commissioning/diagnostic kits for electricians</t>
        </is>
      </c>
      <c r="D24" s="194" t="inlineStr">
        <is>
          <t>Niche B2B</t>
        </is>
      </c>
      <c r="E24" s="254" t="n">
        <v>3</v>
      </c>
      <c r="F24" s="253" t="n">
        <v>3.2</v>
      </c>
      <c r="G24" s="253" t="n">
        <v>2.5</v>
      </c>
      <c r="H24" s="253" t="n">
        <v>4</v>
      </c>
      <c r="I24" s="253" t="n">
        <v>4</v>
      </c>
      <c r="J24" s="253" t="n">
        <v>2.5</v>
      </c>
      <c r="K24" s="253" t="n">
        <v>3.5</v>
      </c>
      <c r="L24" s="253" t="n">
        <v>3</v>
      </c>
      <c r="M24" s="253" t="n">
        <v>3.5</v>
      </c>
      <c r="N24" s="253">
        <f>SUM(E24*'Weights &amp; Method'!$B$6,F24*'Weights &amp; Method'!$B$7,G24*'Weights &amp; Method'!$B$8,H24*'Weights &amp; Method'!$B$9,I24*'Weights &amp; Method'!$B$10,J24*'Weights &amp; Method'!$B$11,K24*'Weights &amp; Method'!$B$12,L24*'Weights &amp; Method'!$B$13,M24*'Weights &amp; Method'!$B$14)/5</f>
        <v/>
      </c>
      <c r="O24" s="194">
        <f>IF(E24&lt;3,"FAIL",IF(E24&lt;4,"CONDITIONAL","PASS"))</f>
        <v/>
      </c>
      <c r="P24" s="194">
        <f>IF(E24&lt;3,"Reject: supplier gate",IF(E24&lt;4,"Supplier DD",IF(N24&gt;=75,"Priority test",IF(N24&gt;=68,"Supplier DD",IF(N24&gt;=60,"Watchlist","Reject")))))</f>
        <v/>
      </c>
      <c r="Q24" s="194" t="inlineStr">
        <is>
          <t>High</t>
        </is>
      </c>
      <c r="R24" s="194" t="inlineStr">
        <is>
          <t>High-intent B2B buying journey and useful kit/bundle opportunity.</t>
        </is>
      </c>
      <c r="S24" s="194" t="inlineStr">
        <is>
          <t>Established test-instrument distributors and brand-authorisation/calibration expectations.</t>
        </is>
      </c>
      <c r="T24" s="194" t="inlineStr">
        <is>
          <t>S58</t>
        </is>
      </c>
    </row>
    <row r="25" ht="66" customHeight="1">
      <c r="A25" s="194" t="n">
        <v>19</v>
      </c>
      <c r="B25" s="194" t="inlineStr">
        <is>
          <t>Home coffee roasting systems</t>
        </is>
      </c>
      <c r="C25" s="194" t="inlineStr">
        <is>
          <t>£900–£7.5k roasters plus green-bean subscription, spares and workshops</t>
        </is>
      </c>
      <c r="D25" s="194" t="inlineStr">
        <is>
          <t>Niche</t>
        </is>
      </c>
      <c r="E25" s="254" t="n">
        <v>2</v>
      </c>
      <c r="F25" s="253" t="n">
        <v>2.5</v>
      </c>
      <c r="G25" s="253" t="n">
        <v>3</v>
      </c>
      <c r="H25" s="253" t="n">
        <v>5</v>
      </c>
      <c r="I25" s="253" t="n">
        <v>4</v>
      </c>
      <c r="J25" s="253" t="n">
        <v>5</v>
      </c>
      <c r="K25" s="253" t="n">
        <v>3.8</v>
      </c>
      <c r="L25" s="253" t="n">
        <v>2</v>
      </c>
      <c r="M25" s="253" t="n">
        <v>3.5</v>
      </c>
      <c r="N25" s="253">
        <f>SUM(E25*'Weights &amp; Method'!$B$6,F25*'Weights &amp; Method'!$B$7,G25*'Weights &amp; Method'!$B$8,H25*'Weights &amp; Method'!$B$9,I25*'Weights &amp; Method'!$B$10,J25*'Weights &amp; Method'!$B$11,K25*'Weights &amp; Method'!$B$12,L25*'Weights &amp; Method'!$B$13,M25*'Weights &amp; Method'!$B$14)/5</f>
        <v/>
      </c>
      <c r="O25" s="194">
        <f>IF(E25&lt;3,"FAIL",IF(E25&lt;4,"CONDITIONAL","PASS"))</f>
        <v/>
      </c>
      <c r="P25" s="194">
        <f>IF(E25&lt;3,"Reject: supplier gate",IF(E25&lt;4,"Supplier DD",IF(N25&gt;=75,"Priority test",IF(N25&gt;=68,"Supplier DD",IF(N25&gt;=60,"Watchlist","Reject")))))</f>
        <v/>
      </c>
      <c r="Q25" s="194" t="inlineStr">
        <is>
          <t>High</t>
        </is>
      </c>
      <c r="R25" s="194" t="inlineStr">
        <is>
          <t>Excellent AOV/recurring consumables and community/content model.</t>
        </is>
      </c>
      <c r="S25" s="194" t="inlineStr">
        <is>
          <t>Tiny market; premium UK distribution is already allocated and after-sales is technically demanding.</t>
        </is>
      </c>
      <c r="T25" s="194" t="inlineStr">
        <is>
          <t>S67 S68</t>
        </is>
      </c>
    </row>
    <row r="26" ht="66" customHeight="1">
      <c r="A26" s="194" t="n">
        <v>20</v>
      </c>
      <c r="B26" s="194" t="inlineStr">
        <is>
          <t>Metal detecting systems</t>
        </is>
      </c>
      <c r="C26" s="194" t="inlineStr">
        <is>
          <t>£400–£2k detector packages plus coils, probes, bags and recovery tools</t>
        </is>
      </c>
      <c r="D26" s="194" t="inlineStr">
        <is>
          <t>High</t>
        </is>
      </c>
      <c r="E26" s="254" t="n">
        <v>2.5</v>
      </c>
      <c r="F26" s="253" t="n">
        <v>3.5</v>
      </c>
      <c r="G26" s="253" t="n">
        <v>2.3</v>
      </c>
      <c r="H26" s="253" t="n">
        <v>4</v>
      </c>
      <c r="I26" s="253" t="n">
        <v>4</v>
      </c>
      <c r="J26" s="253" t="n">
        <v>4</v>
      </c>
      <c r="K26" s="253" t="n">
        <v>3</v>
      </c>
      <c r="L26" s="253" t="n">
        <v>3.5</v>
      </c>
      <c r="M26" s="253" t="n">
        <v>3</v>
      </c>
      <c r="N26" s="253">
        <f>SUM(E26*'Weights &amp; Method'!$B$6,F26*'Weights &amp; Method'!$B$7,G26*'Weights &amp; Method'!$B$8,H26*'Weights &amp; Method'!$B$9,I26*'Weights &amp; Method'!$B$10,J26*'Weights &amp; Method'!$B$11,K26*'Weights &amp; Method'!$B$12,L26*'Weights &amp; Method'!$B$13,M26*'Weights &amp; Method'!$B$14)/5</f>
        <v/>
      </c>
      <c r="O26" s="194">
        <f>IF(E26&lt;3,"FAIL",IF(E26&lt;4,"CONDITIONAL","PASS"))</f>
        <v/>
      </c>
      <c r="P26" s="194">
        <f>IF(E26&lt;3,"Reject: supplier gate",IF(E26&lt;4,"Supplier DD",IF(N26&gt;=75,"Priority test",IF(N26&gt;=68,"Supplier DD",IF(N26&gt;=60,"Watchlist","Reject")))))</f>
        <v/>
      </c>
      <c r="Q26" s="194" t="inlineStr">
        <is>
          <t>High</t>
        </is>
      </c>
      <c r="R26" s="194" t="inlineStr">
        <is>
          <t>Stable hobby, good AOV and strong accessory attach.</t>
        </is>
      </c>
      <c r="S26" s="194" t="inlineStr">
        <is>
          <t>Mature price-matching dealers and manufacturer DTC/channel conflict recreate the Access Ropes problem.</t>
        </is>
      </c>
      <c r="T26" s="194" t="inlineStr">
        <is>
          <t>S65 S66</t>
        </is>
      </c>
    </row>
    <row r="27" ht="66" customHeight="1">
      <c r="A27" s="194" t="n">
        <v>21</v>
      </c>
      <c r="B27" s="194" t="inlineStr">
        <is>
          <t>Beekeeping extraction equipment</t>
        </is>
      </c>
      <c r="C27" s="194" t="inlineStr">
        <is>
          <t>£500–£3k extractors and apiary packages plus foundation, jars and treatments</t>
        </is>
      </c>
      <c r="D27" s="194" t="inlineStr">
        <is>
          <t>Medium</t>
        </is>
      </c>
      <c r="E27" s="254" t="n">
        <v>3</v>
      </c>
      <c r="F27" s="253" t="n">
        <v>2.8</v>
      </c>
      <c r="G27" s="253" t="n">
        <v>2</v>
      </c>
      <c r="H27" s="253" t="n">
        <v>4</v>
      </c>
      <c r="I27" s="253" t="n">
        <v>4</v>
      </c>
      <c r="J27" s="253" t="n">
        <v>5</v>
      </c>
      <c r="K27" s="253" t="n">
        <v>3</v>
      </c>
      <c r="L27" s="253" t="n">
        <v>3</v>
      </c>
      <c r="M27" s="253" t="n">
        <v>3</v>
      </c>
      <c r="N27" s="253">
        <f>SUM(E27*'Weights &amp; Method'!$B$6,F27*'Weights &amp; Method'!$B$7,G27*'Weights &amp; Method'!$B$8,H27*'Weights &amp; Method'!$B$9,I27*'Weights &amp; Method'!$B$10,J27*'Weights &amp; Method'!$B$11,K27*'Weights &amp; Method'!$B$12,L27*'Weights &amp; Method'!$B$13,M27*'Weights &amp; Method'!$B$14)/5</f>
        <v/>
      </c>
      <c r="O27" s="194">
        <f>IF(E27&lt;3,"FAIL",IF(E27&lt;4,"CONDITIONAL","PASS"))</f>
        <v/>
      </c>
      <c r="P27" s="194">
        <f>IF(E27&lt;3,"Reject: supplier gate",IF(E27&lt;4,"Supplier DD",IF(N27&gt;=75,"Priority test",IF(N27&gt;=68,"Supplier DD",IF(N27&gt;=60,"Watchlist","Reject")))))</f>
        <v/>
      </c>
      <c r="Q27" s="194" t="inlineStr">
        <is>
          <t>High</t>
        </is>
      </c>
      <c r="R27" s="194" t="inlineStr">
        <is>
          <t>Known national hobby base and strong recurring supplies.</t>
        </is>
      </c>
      <c r="S27" s="194" t="inlineStr">
        <is>
          <t>Small, seasonal market with entrenched manufacturers/retailers and shared-equipment alternatives.</t>
        </is>
      </c>
      <c r="T27" s="194" t="inlineStr">
        <is>
          <t>S59 S60</t>
        </is>
      </c>
    </row>
    <row r="28" ht="66" customHeight="1">
      <c r="A28" s="194" t="n">
        <v>22</v>
      </c>
      <c r="B28" s="194" t="inlineStr">
        <is>
          <t>Robotic pool cleaners</t>
        </is>
      </c>
      <c r="C28" s="194" t="inlineStr">
        <is>
          <t>£700–£2.5k domestic/commercial pool robots with spares and servicing</t>
        </is>
      </c>
      <c r="D28" s="194" t="inlineStr">
        <is>
          <t>Medium, seasonal</t>
        </is>
      </c>
      <c r="E28" s="254" t="n">
        <v>2.5</v>
      </c>
      <c r="F28" s="253" t="n">
        <v>3</v>
      </c>
      <c r="G28" s="253" t="n">
        <v>2.5</v>
      </c>
      <c r="H28" s="253" t="n">
        <v>4</v>
      </c>
      <c r="I28" s="253" t="n">
        <v>4</v>
      </c>
      <c r="J28" s="253" t="n">
        <v>3.5</v>
      </c>
      <c r="K28" s="253" t="n">
        <v>3</v>
      </c>
      <c r="L28" s="253" t="n">
        <v>2</v>
      </c>
      <c r="M28" s="253" t="n">
        <v>3</v>
      </c>
      <c r="N28" s="253">
        <f>SUM(E28*'Weights &amp; Method'!$B$6,F28*'Weights &amp; Method'!$B$7,G28*'Weights &amp; Method'!$B$8,H28*'Weights &amp; Method'!$B$9,I28*'Weights &amp; Method'!$B$10,J28*'Weights &amp; Method'!$B$11,K28*'Weights &amp; Method'!$B$12,L28*'Weights &amp; Method'!$B$13,M28*'Weights &amp; Method'!$B$14)/5</f>
        <v/>
      </c>
      <c r="O28" s="194">
        <f>IF(E28&lt;3,"FAIL",IF(E28&lt;4,"CONDITIONAL","PASS"))</f>
        <v/>
      </c>
      <c r="P28" s="194">
        <f>IF(E28&lt;3,"Reject: supplier gate",IF(E28&lt;4,"Supplier DD",IF(N28&gt;=75,"Priority test",IF(N28&gt;=68,"Supplier DD",IF(N28&gt;=60,"Watchlist","Reject")))))</f>
        <v/>
      </c>
      <c r="Q28" s="194" t="inlineStr">
        <is>
          <t>High</t>
        </is>
      </c>
      <c r="R28" s="194" t="inlineStr">
        <is>
          <t>High AOV and clear compatibility/comparison content.</t>
        </is>
      </c>
      <c r="S28" s="194" t="inlineStr">
        <is>
          <t>Small UK pool base, seasonality, Amazon price compression and battery/warranty burden.</t>
        </is>
      </c>
      <c r="T28" s="194" t="inlineStr">
        <is>
          <t>S53 S74</t>
        </is>
      </c>
    </row>
    <row r="29" ht="66" customHeight="1">
      <c r="A29" s="194" t="n">
        <v>23</v>
      </c>
      <c r="B29" s="194" t="inlineStr">
        <is>
          <t>Ecology &amp; bat-survey equipment</t>
        </is>
      </c>
      <c r="C29" s="194" t="inlineStr">
        <is>
          <t>£1k–£5k acoustic detector/recorder kits for ecologists and consultancies</t>
        </is>
      </c>
      <c r="D29" s="194" t="inlineStr">
        <is>
          <t>Niche B2B</t>
        </is>
      </c>
      <c r="E29" s="254" t="n">
        <v>2.5</v>
      </c>
      <c r="F29" s="253" t="n">
        <v>2.8</v>
      </c>
      <c r="G29" s="253" t="n">
        <v>2</v>
      </c>
      <c r="H29" s="253" t="n">
        <v>4.5</v>
      </c>
      <c r="I29" s="253" t="n">
        <v>4</v>
      </c>
      <c r="J29" s="253" t="n">
        <v>3</v>
      </c>
      <c r="K29" s="253" t="n">
        <v>3</v>
      </c>
      <c r="L29" s="253" t="n">
        <v>2.5</v>
      </c>
      <c r="M29" s="253" t="n">
        <v>3</v>
      </c>
      <c r="N29" s="253">
        <f>SUM(E29*'Weights &amp; Method'!$B$6,F29*'Weights &amp; Method'!$B$7,G29*'Weights &amp; Method'!$B$8,H29*'Weights &amp; Method'!$B$9,I29*'Weights &amp; Method'!$B$10,J29*'Weights &amp; Method'!$B$11,K29*'Weights &amp; Method'!$B$12,L29*'Weights &amp; Method'!$B$13,M29*'Weights &amp; Method'!$B$14)/5</f>
        <v/>
      </c>
      <c r="O29" s="194">
        <f>IF(E29&lt;3,"FAIL",IF(E29&lt;4,"CONDITIONAL","PASS"))</f>
        <v/>
      </c>
      <c r="P29" s="194">
        <f>IF(E29&lt;3,"Reject: supplier gate",IF(E29&lt;4,"Supplier DD",IF(N29&gt;=75,"Priority test",IF(N29&gt;=68,"Supplier DD",IF(N29&gt;=60,"Watchlist","Reject")))))</f>
        <v/>
      </c>
      <c r="Q29" s="194" t="inlineStr">
        <is>
          <t>High</t>
        </is>
      </c>
      <c r="R29" s="194" t="inlineStr">
        <is>
          <t>Specialist B2B AOV and compliance-led purchasing.</t>
        </is>
      </c>
      <c r="S29" s="194" t="inlineStr">
        <is>
          <t>Very small market, powerful incumbents/repair capability and policy risk around survey requirements.</t>
        </is>
      </c>
      <c r="T29" s="194" t="inlineStr">
        <is>
          <t>S61 S62 S79</t>
        </is>
      </c>
    </row>
    <row r="30" ht="66" customHeight="1">
      <c r="A30" s="194" t="n">
        <v>24</v>
      </c>
      <c r="B30" s="194" t="inlineStr">
        <is>
          <t>Dog mobility equipment</t>
        </is>
      </c>
      <c r="C30" s="194" t="inlineStr">
        <is>
          <t>£200–£800 wheelchairs, harnesses, ramps and rehabilitation accessories</t>
        </is>
      </c>
      <c r="D30" s="194" t="inlineStr">
        <is>
          <t>High</t>
        </is>
      </c>
      <c r="E30" s="254" t="n">
        <v>2</v>
      </c>
      <c r="F30" s="253" t="n">
        <v>3.8</v>
      </c>
      <c r="G30" s="253" t="n">
        <v>2</v>
      </c>
      <c r="H30" s="253" t="n">
        <v>3.2</v>
      </c>
      <c r="I30" s="253" t="n">
        <v>4</v>
      </c>
      <c r="J30" s="253" t="n">
        <v>3</v>
      </c>
      <c r="K30" s="253" t="n">
        <v>4</v>
      </c>
      <c r="L30" s="253" t="n">
        <v>2.5</v>
      </c>
      <c r="M30" s="253" t="n">
        <v>3</v>
      </c>
      <c r="N30" s="253">
        <f>SUM(E30*'Weights &amp; Method'!$B$6,F30*'Weights &amp; Method'!$B$7,G30*'Weights &amp; Method'!$B$8,H30*'Weights &amp; Method'!$B$9,I30*'Weights &amp; Method'!$B$10,J30*'Weights &amp; Method'!$B$11,K30*'Weights &amp; Method'!$B$12,L30*'Weights &amp; Method'!$B$13,M30*'Weights &amp; Method'!$B$14)/5</f>
        <v/>
      </c>
      <c r="O30" s="194">
        <f>IF(E30&lt;3,"FAIL",IF(E30&lt;4,"CONDITIONAL","PASS"))</f>
        <v/>
      </c>
      <c r="P30" s="194">
        <f>IF(E30&lt;3,"Reject: supplier gate",IF(E30&lt;4,"Supplier DD",IF(N30&gt;=75,"Priority test",IF(N30&gt;=68,"Supplier DD",IF(N30&gt;=60,"Watchlist","Reject")))))</f>
        <v/>
      </c>
      <c r="Q30" s="194" t="inlineStr">
        <is>
          <t>High</t>
        </is>
      </c>
      <c r="R30" s="194" t="inlineStr">
        <is>
          <t>Emotionally urgent demand and ageing-pet tailwind.</t>
        </is>
      </c>
      <c r="S30" s="194" t="inlineStr">
        <is>
          <t>Exclusive importer and established specialist; cheap generic carts, high fit returns and medical-claim sensitivity.</t>
        </is>
      </c>
      <c r="T30" s="194" t="inlineStr">
        <is>
          <t>S69 S70</t>
        </is>
      </c>
    </row>
    <row r="31" ht="66" customHeight="1">
      <c r="A31" s="194" t="n">
        <v>25</v>
      </c>
      <c r="B31" s="194" t="inlineStr">
        <is>
          <t>Home freeze dryers</t>
        </is>
      </c>
      <c r="C31" s="194" t="inlineStr">
        <is>
          <t>£2.5k–£5.7k preservation equipment plus bags, oil, trays and maintenance</t>
        </is>
      </c>
      <c r="D31" s="194" t="inlineStr">
        <is>
          <t>Niche</t>
        </is>
      </c>
      <c r="E31" s="254" t="n">
        <v>1.5</v>
      </c>
      <c r="F31" s="253" t="n">
        <v>2</v>
      </c>
      <c r="G31" s="253" t="n">
        <v>3</v>
      </c>
      <c r="H31" s="253" t="n">
        <v>5</v>
      </c>
      <c r="I31" s="253" t="n">
        <v>4</v>
      </c>
      <c r="J31" s="253" t="n">
        <v>4</v>
      </c>
      <c r="K31" s="253" t="n">
        <v>3</v>
      </c>
      <c r="L31" s="253" t="n">
        <v>1.5</v>
      </c>
      <c r="M31" s="253" t="n">
        <v>3</v>
      </c>
      <c r="N31" s="253">
        <f>SUM(E31*'Weights &amp; Method'!$B$6,F31*'Weights &amp; Method'!$B$7,G31*'Weights &amp; Method'!$B$8,H31*'Weights &amp; Method'!$B$9,I31*'Weights &amp; Method'!$B$10,J31*'Weights &amp; Method'!$B$11,K31*'Weights &amp; Method'!$B$12,L31*'Weights &amp; Method'!$B$13,M31*'Weights &amp; Method'!$B$14)/5</f>
        <v/>
      </c>
      <c r="O31" s="194">
        <f>IF(E31&lt;3,"FAIL",IF(E31&lt;4,"CONDITIONAL","PASS"))</f>
        <v/>
      </c>
      <c r="P31" s="194">
        <f>IF(E31&lt;3,"Reject: supplier gate",IF(E31&lt;4,"Supplier DD",IF(N31&gt;=75,"Priority test",IF(N31&gt;=68,"Supplier DD",IF(N31&gt;=60,"Watchlist","Reject")))))</f>
        <v/>
      </c>
      <c r="Q31" s="194" t="inlineStr">
        <is>
          <t>High</t>
        </is>
      </c>
      <c r="R31" s="194" t="inlineStr">
        <is>
          <t>Very high AOV and consumables, with visible UK supply gap/lead times.</t>
        </is>
      </c>
      <c r="S31" s="194" t="inlineStr">
        <is>
          <t>Single-brand dependency, direct global pricing, refrigeration service and extremely narrow UK demand.</t>
        </is>
      </c>
      <c r="T31" s="194" t="inlineStr">
        <is>
          <t>S54 S80</t>
        </is>
      </c>
    </row>
  </sheetData>
  <mergeCells count="3">
    <mergeCell ref="A1:T1"/>
    <mergeCell ref="A4:T4"/>
    <mergeCell ref="A2:T2"/>
  </mergeCells>
  <conditionalFormatting sqref="N7:N31">
    <cfRule type="colorScale" priority="1">
      <colorScale>
        <cfvo type="min"/>
        <cfvo type="percentile" val="50"/>
        <cfvo type="max"/>
        <color rgb="FFFDEBEC"/>
        <color rgb="FFFFF4D6"/>
        <color rgb="FFEAF7EE"/>
      </colorScale>
    </cfRule>
  </conditionalFormatting>
  <conditionalFormatting sqref="O7:O31">
    <cfRule type="containsText" priority="2" operator="containsText" dxfId="0" text="FAIL"/>
    <cfRule type="containsText" priority="3" operator="containsText" dxfId="1" text="PASS"/>
  </conditionalFormatting>
  <conditionalFormatting sqref="P7:P31">
    <cfRule type="containsText" priority="4" operator="containsText" dxfId="2" text="Priority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48" customWidth="1" min="3" max="3"/>
    <col width="28" customWidth="1" min="4" max="4"/>
    <col width="28" customWidth="1" min="5" max="5"/>
    <col width="30" customWidth="1" min="6" max="6"/>
    <col width="18" customWidth="1" min="7" max="7"/>
  </cols>
  <sheetData>
    <row r="1" ht="32" customHeight="1">
      <c r="A1" s="197" t="inlineStr">
        <is>
          <t>Weights &amp; Method</t>
        </is>
      </c>
    </row>
    <row r="2" ht="30" customHeight="1">
      <c r="A2" s="198" t="inlineStr">
        <is>
          <t>Editable weights • all scores are 1–5 • supplier defensibility is also a hard gate</t>
        </is>
      </c>
    </row>
    <row r="3">
      <c r="A3" s="170" t="n"/>
      <c r="B3" s="170" t="n"/>
      <c r="C3" s="170" t="n"/>
      <c r="D3" s="170" t="n"/>
      <c r="E3" s="170" t="n"/>
      <c r="F3" s="170" t="n"/>
      <c r="G3" s="170" t="n"/>
    </row>
    <row r="4" ht="24" customHeight="1">
      <c r="A4" s="171" t="inlineStr">
        <is>
          <t>Weighted score</t>
        </is>
      </c>
    </row>
    <row r="5">
      <c r="A5" s="234" t="inlineStr">
        <is>
          <t>Criterion</t>
        </is>
      </c>
      <c r="B5" s="234" t="inlineStr">
        <is>
          <t>Weight</t>
        </is>
      </c>
      <c r="C5" s="234" t="inlineStr">
        <is>
          <t>What is being scored</t>
        </is>
      </c>
      <c r="D5" s="234" t="inlineStr">
        <is>
          <t>1 / weak</t>
        </is>
      </c>
      <c r="E5" s="234" t="inlineStr">
        <is>
          <t>3 / acceptable</t>
        </is>
      </c>
      <c r="F5" s="234" t="inlineStr">
        <is>
          <t>5 / strong</t>
        </is>
      </c>
      <c r="G5" s="234" t="inlineStr">
        <is>
          <t>Notes</t>
        </is>
      </c>
    </row>
    <row r="6">
      <c r="A6" s="194" t="inlineStr">
        <is>
          <t>Supplier defensibility</t>
        </is>
      </c>
      <c r="B6" s="255" t="n">
        <v>25</v>
      </c>
      <c r="C6" s="194" t="inlineStr">
        <is>
          <t>Manufacturer cannot routinely undercut; written terms, protected SKUs/territory or own-brand path</t>
        </is>
      </c>
      <c r="D6" s="194" t="inlineStr">
        <is>
          <t>Direct conflict / unilateral terms</t>
        </is>
      </c>
      <c r="E6" s="194" t="inlineStr">
        <is>
          <t>Basic wholesale relationship</t>
        </is>
      </c>
      <c r="F6" s="194" t="inlineStr">
        <is>
          <t>Exclusive, private-label, JV or multi-source structure</t>
        </is>
      </c>
      <c r="G6" s="194" t="str"/>
    </row>
    <row r="7">
      <c r="A7" s="194" t="inlineStr">
        <is>
          <t>Demand evidence</t>
        </is>
      </c>
      <c r="B7" s="255" t="n">
        <v>15</v>
      </c>
      <c r="C7" s="194" t="inlineStr">
        <is>
          <t>UK buyer problem, category breadth and current demand signals</t>
        </is>
      </c>
      <c r="D7" s="194" t="inlineStr">
        <is>
          <t>Weak / anecdotal</t>
        </is>
      </c>
      <c r="E7" s="194" t="inlineStr">
        <is>
          <t>Stable niche</t>
        </is>
      </c>
      <c r="F7" s="194" t="inlineStr">
        <is>
          <t>Strong, broad or institutionally funded</t>
        </is>
      </c>
      <c r="G7" s="194" t="str"/>
    </row>
    <row r="8">
      <c r="A8" s="194" t="inlineStr">
        <is>
          <t>Competition gap</t>
        </is>
      </c>
      <c r="B8" s="255" t="n">
        <v>15</v>
      </c>
      <c r="C8" s="194" t="inlineStr">
        <is>
          <t>Room to win without being the cheapest identical SKU</t>
        </is>
      </c>
      <c r="D8" s="194" t="inlineStr">
        <is>
          <t>Dominated by DTC, Amazon or entrenched specialists</t>
        </is>
      </c>
      <c r="E8" s="194" t="inlineStr">
        <is>
          <t>Some whitespace</t>
        </is>
      </c>
      <c r="F8" s="194" t="inlineStr">
        <is>
          <t>Clear underserved buyer/use case</t>
        </is>
      </c>
      <c r="G8" s="194" t="str"/>
    </row>
    <row r="9">
      <c r="A9" s="194" t="inlineStr">
        <is>
          <t>AOV and margin potential</t>
        </is>
      </c>
      <c r="B9" s="255" t="n">
        <v>15</v>
      </c>
      <c r="C9" s="194" t="inlineStr">
        <is>
          <t>Ability to reach useful gross profit per order</t>
        </is>
      </c>
      <c r="D9" s="194" t="inlineStr">
        <is>
          <t>Low AOV / thin margin</t>
        </is>
      </c>
      <c r="E9" s="194" t="inlineStr">
        <is>
          <t>£250–£750 with workable margin</t>
        </is>
      </c>
      <c r="F9" s="194" t="inlineStr">
        <is>
          <t>£1k+ or strong own-brand margin</t>
        </is>
      </c>
      <c r="G9" s="194" t="str"/>
    </row>
    <row r="10">
      <c r="A10" s="194" t="inlineStr">
        <is>
          <t>SEO and content fit</t>
        </is>
      </c>
      <c r="B10" s="255" t="n">
        <v>10</v>
      </c>
      <c r="C10" s="194" t="inlineStr">
        <is>
          <t>Depth of problem-led search journeys and comparison content</t>
        </is>
      </c>
      <c r="D10" s="194" t="inlineStr">
        <is>
          <t>Few valuable queries</t>
        </is>
      </c>
      <c r="E10" s="194" t="inlineStr">
        <is>
          <t>Several buying journeys</t>
        </is>
      </c>
      <c r="F10" s="194" t="inlineStr">
        <is>
          <t>Rich calculator, comparison and specification content</t>
        </is>
      </c>
      <c r="G10" s="194" t="str"/>
    </row>
    <row r="11">
      <c r="A11" s="194" t="inlineStr">
        <is>
          <t>Repeat / cross-sell</t>
        </is>
      </c>
      <c r="B11" s="255" t="n">
        <v>5</v>
      </c>
      <c r="C11" s="194" t="inlineStr">
        <is>
          <t>Consumables, service, upgrades or adjacent products</t>
        </is>
      </c>
      <c r="D11" s="194" t="inlineStr">
        <is>
          <t>One-off only</t>
        </is>
      </c>
      <c r="E11" s="194" t="inlineStr">
        <is>
          <t>Accessories / occasional repeat</t>
        </is>
      </c>
      <c r="F11" s="194" t="inlineStr">
        <is>
          <t>Consumables or recurring service</t>
        </is>
      </c>
      <c r="G11" s="194" t="str"/>
    </row>
    <row r="12">
      <c r="A12" s="194" t="inlineStr">
        <is>
          <t>Trend durability</t>
        </is>
      </c>
      <c r="B12" s="255" t="n">
        <v>5</v>
      </c>
      <c r="C12" s="194" t="inlineStr">
        <is>
          <t>Structural rather than short-lived demand</t>
        </is>
      </c>
      <c r="D12" s="194" t="inlineStr">
        <is>
          <t>Fad / policy cliff</t>
        </is>
      </c>
      <c r="E12" s="194" t="inlineStr">
        <is>
          <t>Stable</t>
        </is>
      </c>
      <c r="F12" s="194" t="inlineStr">
        <is>
          <t>Long-term structural tailwind</t>
        </is>
      </c>
      <c r="G12" s="194" t="str"/>
    </row>
    <row r="13">
      <c r="A13" s="194" t="inlineStr">
        <is>
          <t>Operational ease</t>
        </is>
      </c>
      <c r="B13" s="255" t="n">
        <v>5</v>
      </c>
      <c r="C13" s="194" t="inlineStr">
        <is>
          <t>Shipping, returns, installation, warranty and support burden</t>
        </is>
      </c>
      <c r="D13" s="194" t="inlineStr">
        <is>
          <t>Heavy service / installation</t>
        </is>
      </c>
      <c r="E13" s="194" t="inlineStr">
        <is>
          <t>Manageable complexity</t>
        </is>
      </c>
      <c r="F13" s="194" t="inlineStr">
        <is>
          <t>Simple fulfilment and low returns</t>
        </is>
      </c>
      <c r="G13" s="194" t="str"/>
    </row>
    <row r="14">
      <c r="A14" s="194" t="inlineStr">
        <is>
          <t>Founder fit</t>
        </is>
      </c>
      <c r="B14" s="255" t="n">
        <v>5</v>
      </c>
      <c r="C14" s="194" t="inlineStr">
        <is>
          <t>Digital acquisition, ecommerce, technical content and credible access</t>
        </is>
      </c>
      <c r="D14" s="194" t="inlineStr">
        <is>
          <t>Needs deep missing expertise</t>
        </is>
      </c>
      <c r="E14" s="194" t="inlineStr">
        <is>
          <t>Learnable</t>
        </is>
      </c>
      <c r="F14" s="194" t="inlineStr">
        <is>
          <t>Strong fit / authentic community access</t>
        </is>
      </c>
      <c r="G14" s="194" t="str"/>
    </row>
    <row r="15">
      <c r="A15" s="202" t="inlineStr">
        <is>
          <t>Total</t>
        </is>
      </c>
      <c r="B15" s="202">
        <f>SUM(B6:B14)</f>
        <v/>
      </c>
      <c r="C15" s="170" t="n"/>
      <c r="D15" s="170" t="n"/>
      <c r="E15" s="170" t="n"/>
      <c r="F15" s="170" t="n"/>
      <c r="G15" s="170" t="n"/>
    </row>
    <row r="16">
      <c r="A16" s="170" t="n"/>
      <c r="B16" s="170" t="n"/>
      <c r="C16" s="170" t="n"/>
      <c r="D16" s="170" t="n"/>
      <c r="E16" s="170" t="n"/>
      <c r="F16" s="170" t="n"/>
      <c r="G16" s="170" t="n"/>
    </row>
    <row r="17" ht="24" customHeight="1">
      <c r="A17" s="181" t="inlineStr">
        <is>
          <t>Hard gates and decision logic</t>
        </is>
      </c>
    </row>
    <row r="18">
      <c r="A18" s="203" t="inlineStr">
        <is>
          <t>Supplier gate</t>
        </is>
      </c>
      <c r="B18" s="194" t="inlineStr">
        <is>
          <t>PASS</t>
        </is>
      </c>
      <c r="C18" s="194" t="inlineStr">
        <is>
          <t>Supplier score ≥4.0/5 and no hard-stop flag</t>
        </is>
      </c>
      <c r="D18" s="170" t="n"/>
      <c r="E18" s="170" t="n"/>
      <c r="F18" s="170" t="n"/>
      <c r="G18" s="170" t="n"/>
    </row>
    <row r="19">
      <c r="A19" s="203" t="inlineStr">
        <is>
          <t>Supplier gate</t>
        </is>
      </c>
      <c r="B19" s="194" t="inlineStr">
        <is>
          <t>CONDITIONAL</t>
        </is>
      </c>
      <c r="C19" s="194" t="inlineStr">
        <is>
          <t>Supplier score 3.0–3.9; written terms or second source not yet proven</t>
        </is>
      </c>
      <c r="D19" s="170" t="n"/>
      <c r="E19" s="170" t="n"/>
      <c r="F19" s="170" t="n"/>
      <c r="G19" s="170" t="n"/>
    </row>
    <row r="20">
      <c r="A20" s="203" t="inlineStr">
        <is>
          <t>Supplier gate</t>
        </is>
      </c>
      <c r="B20" s="194" t="inlineStr">
        <is>
          <t>FAIL</t>
        </is>
      </c>
      <c r="C20" s="194" t="inlineStr">
        <is>
          <t>Supplier score &lt;3.0 or direct-quote/DTC/price-protection hard stop</t>
        </is>
      </c>
      <c r="D20" s="170" t="n"/>
      <c r="E20" s="170" t="n"/>
      <c r="F20" s="170" t="n"/>
      <c r="G20" s="170" t="n"/>
    </row>
    <row r="21">
      <c r="A21" s="203" t="inlineStr">
        <is>
          <t>Priority test</t>
        </is>
      </c>
      <c r="B21" s="194" t="inlineStr">
        <is>
          <t>Score ≥75</t>
        </is>
      </c>
      <c r="C21" s="194" t="inlineStr">
        <is>
          <t>Only if supplier gate is PASS; CONDITIONAL suppliers remain in diligence</t>
        </is>
      </c>
      <c r="D21" s="170" t="n"/>
      <c r="E21" s="170" t="n"/>
      <c r="F21" s="170" t="n"/>
      <c r="G21" s="170" t="n"/>
    </row>
    <row r="22">
      <c r="A22" s="203" t="inlineStr">
        <is>
          <t>Supplier DD</t>
        </is>
      </c>
      <c r="B22" s="194" t="inlineStr">
        <is>
          <t>Score 68–74.9</t>
        </is>
      </c>
      <c r="C22" s="194" t="inlineStr">
        <is>
          <t>Commercially attractive but channel/support structure needs proof</t>
        </is>
      </c>
      <c r="D22" s="170" t="n"/>
      <c r="E22" s="170" t="n"/>
      <c r="F22" s="170" t="n"/>
      <c r="G22" s="170" t="n"/>
    </row>
    <row r="23">
      <c r="A23" s="203" t="inlineStr">
        <is>
          <t>Watchlist</t>
        </is>
      </c>
      <c r="B23" s="194" t="inlineStr">
        <is>
          <t>Score 60–67.9</t>
        </is>
      </c>
      <c r="C23" s="194" t="inlineStr">
        <is>
          <t>Do not allocate material time before priority lanes are resolved</t>
        </is>
      </c>
      <c r="D23" s="170" t="n"/>
      <c r="E23" s="170" t="n"/>
      <c r="F23" s="170" t="n"/>
      <c r="G23" s="170" t="n"/>
    </row>
    <row r="24">
      <c r="A24" s="170" t="n"/>
      <c r="B24" s="170" t="n"/>
      <c r="C24" s="170" t="n"/>
      <c r="D24" s="170" t="n"/>
      <c r="E24" s="170" t="n"/>
      <c r="F24" s="170" t="n"/>
      <c r="G24" s="170" t="n"/>
    </row>
    <row r="25" ht="24" customHeight="1">
      <c r="A25" s="204" t="inlineStr">
        <is>
          <t>Search-demand limitation</t>
        </is>
      </c>
    </row>
    <row r="26">
      <c r="A26" s="256" t="inlineStr">
        <is>
          <t>No exact UK monthly search volumes are fabricated in this pack. The search tier is a directional desk-research judgement based on category breadth, search-result depth and demand evidence. Paste Semrush, Ahrefs or Keyword Planner volumes into the yellow cells on Keyword Validation; exact volumes, CPC and keyword difficulty should be a Phase-2 check on the top two lanes, not a false-precision input across 25 ideas.</t>
        </is>
      </c>
      <c r="B26" s="257" t="n"/>
      <c r="C26" s="257" t="n"/>
      <c r="D26" s="257" t="n"/>
      <c r="E26" s="257" t="n"/>
      <c r="F26" s="257" t="n"/>
      <c r="G26" s="258" t="n"/>
    </row>
    <row r="27">
      <c r="A27" s="259" t="n"/>
      <c r="G27" s="260" t="n"/>
    </row>
    <row r="28">
      <c r="A28" s="259" t="n"/>
      <c r="G28" s="260" t="n"/>
    </row>
    <row r="29">
      <c r="A29" s="261" t="n"/>
      <c r="B29" s="262" t="n"/>
      <c r="C29" s="262" t="n"/>
      <c r="D29" s="262" t="n"/>
      <c r="E29" s="262" t="n"/>
      <c r="F29" s="262" t="n"/>
      <c r="G29" s="263" t="n"/>
    </row>
  </sheetData>
  <mergeCells count="6">
    <mergeCell ref="A1:G1"/>
    <mergeCell ref="A17:G17"/>
    <mergeCell ref="A26:G29"/>
    <mergeCell ref="A4:G4"/>
    <mergeCell ref="A2:G2"/>
    <mergeCell ref="A25:G2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42" customWidth="1" min="2" max="2"/>
    <col width="9" customWidth="1" min="3" max="3"/>
    <col width="18" customWidth="1" min="4" max="4"/>
    <col width="18" customWidth="1" min="5" max="5"/>
    <col width="44" customWidth="1" min="6" max="6"/>
    <col width="15" customWidth="1" min="7" max="7"/>
  </cols>
  <sheetData>
    <row r="1" ht="32" customHeight="1">
      <c r="A1" s="197" t="inlineStr">
        <is>
          <t>Supplier Gate</t>
        </is>
      </c>
    </row>
    <row r="2" ht="30" customHeight="1">
      <c r="A2" s="198" t="inlineStr">
        <is>
          <t>Score two real suppliers side by side before inventory, ads or a catalogue build</t>
        </is>
      </c>
    </row>
    <row r="3">
      <c r="A3" s="170" t="n"/>
      <c r="B3" s="170" t="n"/>
      <c r="C3" s="170" t="n"/>
      <c r="D3" s="170" t="n"/>
      <c r="E3" s="170" t="n"/>
      <c r="F3" s="170" t="n"/>
      <c r="G3" s="170" t="n"/>
    </row>
    <row r="4" ht="24" customHeight="1">
      <c r="A4" s="171" t="inlineStr">
        <is>
          <t>Supplier scorecard</t>
        </is>
      </c>
    </row>
    <row r="5">
      <c r="A5" s="234" t="inlineStr">
        <is>
          <t>Criterion</t>
        </is>
      </c>
      <c r="B5" s="234" t="inlineStr">
        <is>
          <t>Why it matters</t>
        </is>
      </c>
      <c r="C5" s="234" t="inlineStr">
        <is>
          <t>Weight</t>
        </is>
      </c>
      <c r="D5" s="234" t="inlineStr">
        <is>
          <t>Supplier A (0–2)</t>
        </is>
      </c>
      <c r="E5" s="234" t="inlineStr">
        <is>
          <t>Supplier B (0–2)</t>
        </is>
      </c>
      <c r="F5" s="234" t="inlineStr">
        <is>
          <t>Required written evidence</t>
        </is>
      </c>
      <c r="G5" s="234" t="inlineStr">
        <is>
          <t>Hard stop if 0?</t>
        </is>
      </c>
    </row>
    <row r="6" ht="45" customHeight="1">
      <c r="A6" s="194" t="inlineStr">
        <is>
          <t>Wholesale price fixed / notice</t>
        </is>
      </c>
      <c r="B6" s="194" t="inlineStr">
        <is>
          <t>Prevents Southern Ropes-style quote erosion</t>
        </is>
      </c>
      <c r="C6" s="194" t="n">
        <v>2</v>
      </c>
      <c r="D6" s="214" t="n"/>
      <c r="E6" s="214" t="n"/>
      <c r="F6" s="194" t="inlineStr">
        <is>
          <t>12-month price list or ≥90-day notice</t>
        </is>
      </c>
      <c r="G6" s="194" t="inlineStr">
        <is>
          <t>Yes</t>
        </is>
      </c>
    </row>
    <row r="7" ht="45" customHeight="1">
      <c r="A7" s="194" t="inlineStr">
        <is>
          <t>Core-SKU gross margin</t>
        </is>
      </c>
      <c r="B7" s="194" t="inlineStr">
        <is>
          <t>Funds acquisition, support and returns</t>
        </is>
      </c>
      <c r="C7" s="194" t="n">
        <v>2</v>
      </c>
      <c r="D7" s="214" t="n"/>
      <c r="E7" s="214" t="n"/>
      <c r="F7" s="194" t="inlineStr">
        <is>
          <t>≥35% landed GM at normal street price</t>
        </is>
      </c>
      <c r="G7" s="194" t="inlineStr">
        <is>
          <t>Yes</t>
        </is>
      </c>
    </row>
    <row r="8" ht="45" customHeight="1">
      <c r="A8" s="194" t="inlineStr">
        <is>
          <t>DTC price parity</t>
        </is>
      </c>
      <c r="B8" s="194" t="inlineStr">
        <is>
          <t>Stops the manufacturer becoming your cheapest competitor</t>
        </is>
      </c>
      <c r="C8" s="194" t="n">
        <v>2</v>
      </c>
      <c r="D8" s="214" t="n"/>
      <c r="E8" s="214" t="n"/>
      <c r="F8" s="194" t="inlineStr">
        <is>
          <t>Policy covering coupons, bundles and marketplaces</t>
        </is>
      </c>
      <c r="G8" s="194" t="inlineStr">
        <is>
          <t>Yes</t>
        </is>
      </c>
    </row>
    <row r="9" ht="45" customHeight="1">
      <c r="A9" s="194" t="inlineStr">
        <is>
          <t>No direct end-customer quoting</t>
        </is>
      </c>
      <c r="B9" s="194" t="inlineStr">
        <is>
          <t>Protects leads you create</t>
        </is>
      </c>
      <c r="C9" s="194" t="n">
        <v>2</v>
      </c>
      <c r="D9" s="214" t="n"/>
      <c r="E9" s="214" t="n"/>
      <c r="F9" s="194" t="inlineStr">
        <is>
          <t>Lead registration / non-circumvention clause</t>
        </is>
      </c>
      <c r="G9" s="194" t="inlineStr">
        <is>
          <t>Yes</t>
        </is>
      </c>
    </row>
    <row r="10" ht="45" customHeight="1">
      <c r="A10" s="194" t="inlineStr">
        <is>
          <t>Protected SKU / territory / segment</t>
        </is>
      </c>
      <c r="B10" s="194" t="inlineStr">
        <is>
          <t>Makes comparison harder and rewards demand creation</t>
        </is>
      </c>
      <c r="C10" s="194" t="n">
        <v>2</v>
      </c>
      <c r="D10" s="214" t="n"/>
      <c r="E10" s="214" t="n"/>
      <c r="F10" s="194" t="inlineStr">
        <is>
          <t>Exclusive SKU, geography or named vertical</t>
        </is>
      </c>
      <c r="G10" s="194" t="inlineStr">
        <is>
          <t>No</t>
        </is>
      </c>
    </row>
    <row r="11" ht="45" customHeight="1">
      <c r="A11" s="194" t="inlineStr">
        <is>
          <t>Second-source or own-brand path</t>
        </is>
      </c>
      <c r="B11" s="194" t="inlineStr">
        <is>
          <t>Reduces single-supplier fragility</t>
        </is>
      </c>
      <c r="C11" s="194" t="n">
        <v>2</v>
      </c>
      <c r="D11" s="214" t="n"/>
      <c r="E11" s="214" t="n"/>
      <c r="F11" s="194" t="inlineStr">
        <is>
          <t>Alternative BOM, contract manufacturing or exit rights</t>
        </is>
      </c>
      <c r="G11" s="194" t="inlineStr">
        <is>
          <t>No</t>
        </is>
      </c>
    </row>
    <row r="12" ht="45" customHeight="1">
      <c r="A12" s="194" t="inlineStr">
        <is>
          <t>Stock allocation and feed</t>
        </is>
      </c>
      <c r="B12" s="194" t="inlineStr">
        <is>
          <t>Prevents ads selling unavailable product</t>
        </is>
      </c>
      <c r="C12" s="194" t="n">
        <v>1</v>
      </c>
      <c r="D12" s="214" t="n"/>
      <c r="E12" s="214" t="n"/>
      <c r="F12" s="194" t="inlineStr">
        <is>
          <t>Stock feed, allocation and back-order SLA</t>
        </is>
      </c>
      <c r="G12" s="194" t="inlineStr">
        <is>
          <t>No</t>
        </is>
      </c>
    </row>
    <row r="13" ht="45" customHeight="1">
      <c r="A13" s="194" t="inlineStr">
        <is>
          <t>Dispatch / delivery SLA</t>
        </is>
      </c>
      <c r="B13" s="194" t="inlineStr">
        <is>
          <t>Protects service promise</t>
        </is>
      </c>
      <c r="C13" s="194" t="n">
        <v>1</v>
      </c>
      <c r="D13" s="214" t="n"/>
      <c r="E13" s="214" t="n"/>
      <c r="F13" s="194" t="inlineStr">
        <is>
          <t>Written dispatch times and peak-season plan</t>
        </is>
      </c>
      <c r="G13" s="194" t="inlineStr">
        <is>
          <t>No</t>
        </is>
      </c>
    </row>
    <row r="14" ht="45" customHeight="1">
      <c r="A14" s="194" t="inlineStr">
        <is>
          <t>Warranty / RMA ownership</t>
        </is>
      </c>
      <c r="B14" s="194" t="inlineStr">
        <is>
          <t>Avoids margin being consumed by faults</t>
        </is>
      </c>
      <c r="C14" s="194" t="n">
        <v>2</v>
      </c>
      <c r="D14" s="214" t="n"/>
      <c r="E14" s="214" t="n"/>
      <c r="F14" s="194" t="inlineStr">
        <is>
          <t>Who pays freight, turnaround and replacement SLA</t>
        </is>
      </c>
      <c r="G14" s="194" t="inlineStr">
        <is>
          <t>Yes</t>
        </is>
      </c>
    </row>
    <row r="15" ht="45" customHeight="1">
      <c r="A15" s="194" t="inlineStr">
        <is>
          <t>Certification and insurance</t>
        </is>
      </c>
      <c r="B15" s="194" t="inlineStr">
        <is>
          <t>Required for safe, defendable claims</t>
        </is>
      </c>
      <c r="C15" s="194" t="n">
        <v>2</v>
      </c>
      <c r="D15" s="214" t="n"/>
      <c r="E15" s="214" t="n"/>
      <c r="F15" s="194" t="inlineStr">
        <is>
          <t>Test reports, declarations, product-liability cover</t>
        </is>
      </c>
      <c r="G15" s="194" t="inlineStr">
        <is>
          <t>Yes</t>
        </is>
      </c>
    </row>
    <row r="16" ht="45" customHeight="1">
      <c r="A16" s="194" t="inlineStr">
        <is>
          <t>Credit terms improve with volume</t>
        </is>
      </c>
      <c r="B16" s="194" t="inlineStr">
        <is>
          <t>Reduces working-capital strain</t>
        </is>
      </c>
      <c r="C16" s="194" t="n">
        <v>1</v>
      </c>
      <c r="D16" s="214" t="n"/>
      <c r="E16" s="214" t="n"/>
      <c r="F16" s="194" t="inlineStr">
        <is>
          <t>Deposit / net terms / credit ladder</t>
        </is>
      </c>
      <c r="G16" s="194" t="inlineStr">
        <is>
          <t>No</t>
        </is>
      </c>
    </row>
    <row r="17" ht="45" customHeight="1">
      <c r="A17" s="194" t="inlineStr">
        <is>
          <t>Data, samples and training</t>
        </is>
      </c>
      <c r="B17" s="194" t="inlineStr">
        <is>
          <t>Enables superior product pages and advice</t>
        </is>
      </c>
      <c r="C17" s="194" t="n">
        <v>1</v>
      </c>
      <c r="D17" s="214" t="n"/>
      <c r="E17" s="214" t="n"/>
      <c r="F17" s="194" t="inlineStr">
        <is>
          <t>Assets, demo units, training and claim approval</t>
        </is>
      </c>
      <c r="G17" s="194" t="inlineStr">
        <is>
          <t>No</t>
        </is>
      </c>
    </row>
    <row r="18" ht="45" customHeight="1">
      <c r="A18" s="194" t="inlineStr">
        <is>
          <t>Returns and dead-stock protection</t>
        </is>
      </c>
      <c r="B18" s="194" t="inlineStr">
        <is>
          <t>Contains launch risk</t>
        </is>
      </c>
      <c r="C18" s="194" t="n">
        <v>1</v>
      </c>
      <c r="D18" s="214" t="n"/>
      <c r="E18" s="214" t="n"/>
      <c r="F18" s="194" t="inlineStr">
        <is>
          <t>Rotation, buyback or low opening MOQ</t>
        </is>
      </c>
      <c r="G18" s="194" t="inlineStr">
        <is>
          <t>No</t>
        </is>
      </c>
    </row>
    <row r="19" ht="45" customHeight="1">
      <c r="A19" s="194" t="inlineStr">
        <is>
          <t>Strategic account access</t>
        </is>
      </c>
      <c r="B19" s="194" t="inlineStr">
        <is>
          <t>Relationship must survive personnel and price changes</t>
        </is>
      </c>
      <c r="C19" s="194" t="n">
        <v>1</v>
      </c>
      <c r="D19" s="214" t="n"/>
      <c r="E19" s="214" t="n"/>
      <c r="F19" s="194" t="inlineStr">
        <is>
          <t>Named decision-maker and quarterly review</t>
        </is>
      </c>
      <c r="G19" s="194" t="inlineStr">
        <is>
          <t>No</t>
        </is>
      </c>
    </row>
    <row r="20" ht="45" customHeight="1">
      <c r="A20" s="194" t="inlineStr">
        <is>
          <t>Reference checks</t>
        </is>
      </c>
      <c r="B20" s="194" t="inlineStr">
        <is>
          <t>Tests whether promises survive growth</t>
        </is>
      </c>
      <c r="C20" s="194" t="n">
        <v>1</v>
      </c>
      <c r="D20" s="214" t="n"/>
      <c r="E20" s="214" t="n"/>
      <c r="F20" s="194" t="inlineStr">
        <is>
          <t>Two current reseller references</t>
        </is>
      </c>
      <c r="G20" s="194" t="inlineStr">
        <is>
          <t>No</t>
        </is>
      </c>
    </row>
    <row r="21">
      <c r="A21" s="170" t="n"/>
      <c r="B21" s="170" t="n"/>
      <c r="C21" s="170" t="n"/>
      <c r="D21" s="170" t="n"/>
      <c r="E21" s="170" t="n"/>
      <c r="F21" s="170" t="n"/>
      <c r="G21" s="170" t="n"/>
    </row>
    <row r="22">
      <c r="A22" s="202" t="inlineStr">
        <is>
          <t>Weighted gate score / 5</t>
        </is>
      </c>
      <c r="B22" s="202" t="n"/>
      <c r="C22" s="202" t="n"/>
      <c r="D22" s="264">
        <f>SUMPRODUCT(C6:C20,D6:D20)/(SUM(C6:C20)*2)*5</f>
        <v/>
      </c>
      <c r="E22" s="264">
        <f>SUMPRODUCT(C6:C20,E6:E20)/(SUM(C6:C20)*2)*5</f>
        <v/>
      </c>
      <c r="F22" s="170" t="n"/>
      <c r="G22" s="170" t="n"/>
    </row>
    <row r="23">
      <c r="A23" s="202" t="inlineStr">
        <is>
          <t>Result</t>
        </is>
      </c>
      <c r="B23" s="202" t="n"/>
      <c r="C23" s="202" t="n"/>
      <c r="D23" s="202">
        <f>IF(OR(D6=0,D7=0,D8=0,D9=0,D14=0,D15=0),"FAIL",IF(D22&gt;=4,"PASS",IF(D22&gt;=3,"CONDITIONAL","FAIL")))</f>
        <v/>
      </c>
      <c r="E23" s="202">
        <f>IF(OR(E6=0,E7=0,E8=0,E9=0,E14=0,E15=0),"FAIL",IF(E22&gt;=4,"PASS",IF(E22&gt;=3,"CONDITIONAL","FAIL")))</f>
        <v/>
      </c>
      <c r="F23" s="170" t="n"/>
      <c r="G23" s="170" t="n"/>
    </row>
    <row r="24">
      <c r="A24" s="170" t="n"/>
      <c r="B24" s="170" t="n"/>
      <c r="C24" s="170" t="n"/>
      <c r="D24" s="170" t="n"/>
      <c r="E24" s="170" t="n"/>
      <c r="F24" s="170" t="n"/>
      <c r="G24" s="170" t="n"/>
    </row>
    <row r="25" ht="24" customHeight="1">
      <c r="A25" s="181" t="inlineStr">
        <is>
          <t>Automatic hard stops</t>
        </is>
      </c>
    </row>
    <row r="26" ht="38" customHeight="1">
      <c r="A26" s="216" t="inlineStr">
        <is>
          <t>1</t>
        </is>
      </c>
      <c r="B26" s="194" t="inlineStr">
        <is>
          <t>Supplier/manufacturer can quote your registered lead directly or transfer it to another dealer.</t>
        </is>
      </c>
      <c r="C26" s="170" t="n"/>
      <c r="D26" s="170" t="n"/>
      <c r="E26" s="170" t="n"/>
      <c r="F26" s="170" t="n"/>
      <c r="G26" s="170" t="n"/>
    </row>
    <row r="27" ht="38" customHeight="1">
      <c r="A27" s="216" t="inlineStr">
        <is>
          <t>2</t>
        </is>
      </c>
      <c r="B27" s="194" t="inlineStr">
        <is>
          <t>Normal DTC/promotional price leaves less than 30% landed gross margin—or price protection is verbal only.</t>
        </is>
      </c>
      <c r="C27" s="170" t="n"/>
      <c r="D27" s="170" t="n"/>
      <c r="E27" s="170" t="n"/>
      <c r="F27" s="170" t="n"/>
      <c r="G27" s="170" t="n"/>
    </row>
    <row r="28" ht="38" customHeight="1">
      <c r="A28" s="216" t="inlineStr">
        <is>
          <t>3</t>
        </is>
      </c>
      <c r="B28" s="194" t="inlineStr">
        <is>
          <t>Price changes can take effect immediately, with no quote validity or inventory protection.</t>
        </is>
      </c>
      <c r="C28" s="170" t="n"/>
      <c r="D28" s="170" t="n"/>
      <c r="E28" s="170" t="n"/>
      <c r="F28" s="170" t="n"/>
      <c r="G28" s="170" t="n"/>
    </row>
    <row r="29" ht="38" customHeight="1">
      <c r="A29" s="216" t="inlineStr">
        <is>
          <t>4</t>
        </is>
      </c>
      <c r="B29" s="194" t="inlineStr">
        <is>
          <t>You rely on one source and have neither exclusivity, unique SKUs, private label nor an exit/second-source plan.</t>
        </is>
      </c>
      <c r="C29" s="170" t="n"/>
      <c r="D29" s="170" t="n"/>
      <c r="E29" s="170" t="n"/>
      <c r="F29" s="170" t="n"/>
      <c r="G29" s="170" t="n"/>
    </row>
    <row r="30" ht="38" customHeight="1">
      <c r="A30" s="216" t="inlineStr">
        <is>
          <t>5</t>
        </is>
      </c>
      <c r="B30" s="194" t="inlineStr">
        <is>
          <t>Warranty, safety certification or liability ownership is unclear.</t>
        </is>
      </c>
      <c r="C30" s="170" t="n"/>
      <c r="D30" s="170" t="n"/>
      <c r="E30" s="170" t="n"/>
      <c r="F30" s="170" t="n"/>
      <c r="G30" s="170" t="n"/>
    </row>
  </sheetData>
  <mergeCells count="4">
    <mergeCell ref="A2:G2"/>
    <mergeCell ref="A4:G4"/>
    <mergeCell ref="A1:G1"/>
    <mergeCell ref="A25:G25"/>
  </mergeCells>
  <dataValidations count="1">
    <dataValidation sqref="D6:E20" showDropDown="0" showInputMessage="0" showErrorMessage="0" allowBlank="0" type="whole" operator="between">
      <formula1>0</formula1>
      <formula2>2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46" customWidth="1" min="4" max="4"/>
    <col width="20" customWidth="1" min="5" max="5"/>
    <col width="48" customWidth="1" min="6" max="6"/>
    <col width="42" customWidth="1" min="7" max="7"/>
    <col width="42" customWidth="1" min="8" max="8"/>
    <col width="46" customWidth="1" min="9" max="9"/>
    <col width="22" customWidth="1" min="10" max="10"/>
  </cols>
  <sheetData>
    <row r="1" ht="32" customHeight="1">
      <c r="A1" s="197" t="inlineStr">
        <is>
          <t>Shortlist Deep Dives</t>
        </is>
      </c>
    </row>
    <row r="2" ht="30" customHeight="1">
      <c r="A2" s="198" t="inlineStr">
        <is>
          <t>The product thesis must be differentiated at supplier/BOM level—not just by better marketing</t>
        </is>
      </c>
    </row>
    <row r="3">
      <c r="A3" s="170" t="n"/>
      <c r="B3" s="170" t="n"/>
      <c r="C3" s="170" t="n"/>
      <c r="D3" s="170" t="n"/>
      <c r="E3" s="170" t="n"/>
      <c r="F3" s="170" t="n"/>
      <c r="G3" s="170" t="n"/>
      <c r="H3" s="170" t="n"/>
      <c r="I3" s="170" t="n"/>
      <c r="J3" s="170" t="n"/>
    </row>
    <row r="4">
      <c r="A4" s="170" t="n"/>
      <c r="B4" s="170" t="n"/>
      <c r="C4" s="170" t="n"/>
      <c r="D4" s="170" t="n"/>
      <c r="E4" s="170" t="n"/>
      <c r="F4" s="170" t="n"/>
      <c r="G4" s="170" t="n"/>
      <c r="H4" s="170" t="n"/>
      <c r="I4" s="170" t="n"/>
      <c r="J4" s="170" t="n"/>
    </row>
    <row r="5">
      <c r="A5" s="234" t="inlineStr">
        <is>
          <t>Rank</t>
        </is>
      </c>
      <c r="B5" s="234" t="inlineStr">
        <is>
          <t>Opportunity</t>
        </is>
      </c>
      <c r="C5" s="234" t="inlineStr">
        <is>
          <t>Buyer</t>
        </is>
      </c>
      <c r="D5" s="234" t="inlineStr">
        <is>
          <t>Offer wedge</t>
        </is>
      </c>
      <c r="E5" s="234" t="inlineStr">
        <is>
          <t>Indicative AOV</t>
        </is>
      </c>
      <c r="F5" s="234" t="inlineStr">
        <is>
          <t>Required supplier structure</t>
        </is>
      </c>
      <c r="G5" s="234" t="inlineStr">
        <is>
          <t>Why now</t>
        </is>
      </c>
      <c r="H5" s="234" t="inlineStr">
        <is>
          <t>Primary risk</t>
        </is>
      </c>
      <c r="I5" s="234" t="inlineStr">
        <is>
          <t>First validation action</t>
        </is>
      </c>
      <c r="J5" s="234" t="inlineStr">
        <is>
          <t>Decision</t>
        </is>
      </c>
    </row>
    <row r="6" ht="105" customHeight="1">
      <c r="A6" s="194" t="inlineStr">
        <is>
          <t>1</t>
        </is>
      </c>
      <c r="B6" s="194" t="inlineStr">
        <is>
          <t>Rainwater &amp; drought-resilience systems</t>
        </is>
      </c>
      <c r="C6" s="194" t="inlineStr">
        <is>
          <t>Homeowners, rural properties, small businesses, farms and developers</t>
        </is>
      </c>
      <c r="D6" s="194" t="inlineStr">
        <is>
          <t>Packaged roof-to-use system: tank + filter + pump + controls + drip irrigation; calculator and installer handoff</t>
        </is>
      </c>
      <c r="E6" s="194" t="inlineStr">
        <is>
          <t>£1.5k–£7k domestic; £15k–£40k commercial</t>
        </is>
      </c>
      <c r="F6" s="194" t="inlineStr">
        <is>
          <t>Exclusive/approved manufacturer deal or JV; unique bundled BOM; at least two tank/component sources</t>
        </is>
      </c>
      <c r="G6" s="194" t="inlineStr">
        <is>
          <t>2026 drought + structural deficit; high-value problem-led search</t>
        </is>
      </c>
      <c r="H6" s="194" t="inlineStr">
        <is>
          <t>Design/install burden; direct-selling manufacturers</t>
        </is>
      </c>
      <c r="I6" s="194" t="inlineStr">
        <is>
          <t>Contact 8 UK makers/distributors; require written price/channel terms before any landing page</t>
        </is>
      </c>
      <c r="J6" s="194" t="inlineStr">
        <is>
          <t>Priority 1</t>
        </is>
      </c>
    </row>
    <row r="7" ht="105" customHeight="1">
      <c r="A7" s="194" t="inlineStr">
        <is>
          <t>2</t>
        </is>
      </c>
      <c r="B7" s="194" t="inlineStr">
        <is>
          <t>Performance acoustic room kits</t>
        </is>
      </c>
      <c r="C7" s="194" t="inlineStr">
        <is>
          <t>Home studios, podcasters, listening rooms, creators and smaller offices</t>
        </is>
      </c>
      <c r="D7" s="194" t="inlineStr">
        <is>
          <t>Performance-tested room kits by room/use case; custom finish; remote plan service</t>
        </is>
      </c>
      <c r="E7" s="194" t="inlineStr">
        <is>
          <t>£600–£2.5k</t>
        </is>
      </c>
      <c r="F7" s="194" t="inlineStr">
        <is>
          <t>Contract manufacture/owned SKU; performance/fire documentation; no identical-brand price comparison</t>
        </is>
      </c>
      <c r="G7" s="194" t="inlineStr">
        <is>
          <t>Rich search/comparison surface; manageable ecommerce; strong margin potential</t>
        </is>
      </c>
      <c r="H7" s="194" t="inlineStr">
        <is>
          <t>Generic slat-panel commoditisation and bulky freight</t>
        </is>
      </c>
      <c r="I7" s="194" t="inlineStr">
        <is>
          <t>Quote three UK panel makers for an exclusive kit specification and tested construction</t>
        </is>
      </c>
      <c r="J7" s="194" t="inlineStr">
        <is>
          <t>Priority 2</t>
        </is>
      </c>
    </row>
    <row r="8" ht="105" customHeight="1">
      <c r="A8" s="194" t="inlineStr">
        <is>
          <t>3</t>
        </is>
      </c>
      <c r="B8" s="194" t="inlineStr">
        <is>
          <t>Sensory-room packages</t>
        </is>
      </c>
      <c r="C8" s="194" t="inlineStr">
        <is>
          <t>Schools, local authorities, care settings, charities and higher-income home buyers</t>
        </is>
      </c>
      <c r="D8" s="194" t="inlineStr">
        <is>
          <t>Three fixed packages plus paid design, installation partner and refurbishment service</t>
        </is>
      </c>
      <c r="E8" s="194" t="inlineStr">
        <is>
          <t>£3k–£15k+</t>
        </is>
      </c>
      <c r="F8" s="194" t="inlineStr">
        <is>
          <t>Sense Sensory reseller route plus framework-ready supplier relationship</t>
        </is>
      </c>
      <c r="G8" s="194" t="inlineStr">
        <is>
          <t>Explicit reseller invitation and funded inclusion/procurement tailwind</t>
        </is>
      </c>
      <c r="H8" s="194" t="inlineStr">
        <is>
          <t>Expertise, procurement cycles, safeguarding and installation</t>
        </is>
      </c>
      <c r="I8" s="194" t="inlineStr">
        <is>
          <t>Supplier call + 10 SENCO/OT interviews; test quote-led landing page, not broad paid shopping</t>
        </is>
      </c>
      <c r="J8" s="194" t="inlineStr">
        <is>
          <t>Priority 3 (B2B)</t>
        </is>
      </c>
    </row>
    <row r="9" ht="105" customHeight="1">
      <c r="A9" s="194" t="inlineStr">
        <is>
          <t>4</t>
        </is>
      </c>
      <c r="B9" s="194" t="inlineStr">
        <is>
          <t>Separating &amp; composting toilet systems</t>
        </is>
      </c>
      <c r="C9" s="194" t="inlineStr">
        <is>
          <t>Campervan/boat converters, garden rooms, cabins and off-grid buyers</t>
        </is>
      </c>
      <c r="D9" s="194" t="inlineStr">
        <is>
          <t>Application-specific install kits, vent/electrical options, consumable replenishment</t>
        </is>
      </c>
      <c r="E9" s="194" t="inlineStr">
        <is>
          <t>£300–£1k</t>
        </is>
      </c>
      <c r="F9" s="194" t="inlineStr">
        <is>
          <t>Wholesale programme + second UK/EU maker; own installation kits and documentation</t>
        </is>
      </c>
      <c r="G9" s="194" t="inlineStr">
        <is>
          <t>Named 2026 trend, active wholesale route and recurring consumables</t>
        </is>
      </c>
      <c r="H9" s="194" t="inlineStr">
        <is>
          <t>Brand DTC/affiliate conflict; support/reputation sensitivity</t>
        </is>
      </c>
      <c r="I9" s="194" t="inlineStr">
        <is>
          <t>Ask CompoCloset and two makers for wholesale, warranty and no-undercut terms</t>
        </is>
      </c>
      <c r="J9" s="194" t="inlineStr">
        <is>
          <t>Priority 4</t>
        </is>
      </c>
    </row>
    <row r="10" ht="105" customHeight="1">
      <c r="A10" s="194" t="inlineStr">
        <is>
          <t>5</t>
        </is>
      </c>
      <c r="B10" s="194" t="inlineStr">
        <is>
          <t>Pond-health &amp; filtration systems</t>
        </is>
      </c>
      <c r="C10" s="194" t="inlineStr">
        <is>
          <t>Koi and large-pond owners with clarity/water-quality problems</t>
        </is>
      </c>
      <c r="D10" s="194" t="inlineStr">
        <is>
          <t>Pond-size calculator, filtration/pump/UV bundles and scheduled media/treatment replenishment</t>
        </is>
      </c>
      <c r="E10" s="194" t="inlineStr">
        <is>
          <t>£850–£3k</t>
        </is>
      </c>
      <c r="F10" s="194" t="inlineStr">
        <is>
          <t>Dealer/wholesale brands plus own bundle SKUs; avoid identical standalone hero SKU</t>
        </is>
      </c>
      <c r="G10" s="194" t="inlineStr">
        <is>
          <t>High product depth, repeat revenue and urgent problem searches</t>
        </is>
      </c>
      <c r="H10" s="194" t="inlineStr">
        <is>
          <t>Seasonal, mature specialists and technical sizing</t>
        </is>
      </c>
      <c r="I10" s="194" t="inlineStr">
        <is>
          <t>Model three pond sizes and price-protect bundles with two wholesalers</t>
        </is>
      </c>
      <c r="J10" s="194" t="inlineStr">
        <is>
          <t>Supplier DD</t>
        </is>
      </c>
    </row>
    <row r="11" ht="105" customHeight="1">
      <c r="A11" s="194" t="inlineStr">
        <is>
          <t>6</t>
        </is>
      </c>
      <c r="B11" s="194" t="inlineStr">
        <is>
          <t>Building diagnostic kits</t>
        </is>
      </c>
      <c r="C11" s="194" t="inlineStr">
        <is>
          <t>Surveyors, retrofit coordinators, electricians, landlords and maintenance teams</t>
        </is>
      </c>
      <c r="D11" s="194" t="inlineStr">
        <is>
          <t>Use-case kits combining camera, moisture meter, borescope, case, training and report templates</t>
        </is>
      </c>
      <c r="E11" s="194" t="inlineStr">
        <is>
          <t>£1k–£3.5k</t>
        </is>
      </c>
      <c r="F11" s="194" t="inlineStr">
        <is>
          <t>Authorised second-tier manufacturer + owned training/templates; two camera brands</t>
        </is>
      </c>
      <c r="G11" s="194" t="inlineStr">
        <is>
          <t>Strong B2B intent and comparison content; professional AOV</t>
        </is>
      </c>
      <c r="H11" s="194" t="inlineStr">
        <is>
          <t>Master distributors, calibration and low-end commoditisation</t>
        </is>
      </c>
      <c r="I11" s="194" t="inlineStr">
        <is>
          <t>Interview 12 surveyors; seek vertical-kit rights from 3 brands before ad test</t>
        </is>
      </c>
      <c r="J11" s="194" t="inlineStr">
        <is>
          <t>Supplier DD</t>
        </is>
      </c>
    </row>
    <row r="12" ht="105" customHeight="1">
      <c r="A12" s="194" t="inlineStr">
        <is>
          <t>—</t>
        </is>
      </c>
      <c r="B12" s="194" t="inlineStr">
        <is>
          <t>Premium freediving equipment</t>
        </is>
      </c>
      <c r="C12" s="194" t="inlineStr">
        <is>
          <t>Committed club divers, instructors and spearfishers</t>
        </is>
      </c>
      <c r="D12" s="194" t="inlineStr">
        <is>
          <t>Appointment/demo-led premium fit studio: fins + wetsuit + computer; club partnerships</t>
        </is>
      </c>
      <c r="E12" s="194" t="inlineStr">
        <is>
          <t>£400–£1.2k</t>
        </is>
      </c>
      <c r="F12" s="194" t="inlineStr">
        <is>
          <t>Only launch with protected UK/segment rights, 12-month pricing, DTC parity and second line</t>
        </is>
      </c>
      <c r="G12" s="194" t="inlineStr">
        <is>
          <t>Authentic fit, active community and premium products</t>
        </is>
      </c>
      <c r="H12" s="194" t="inlineStr">
        <is>
          <t>Small TAM; EU price leader; existing UK specialists; brand DTC</t>
        </is>
      </c>
      <c r="I12" s="194" t="inlineStr">
        <is>
          <t>Do 10 club/instructor interviews and 8 supplier calls first. No catalogue build until gate passes</t>
        </is>
      </c>
      <c r="J12" s="194" t="inlineStr">
        <is>
          <t>No-go until supplier solved</t>
        </is>
      </c>
    </row>
  </sheetData>
  <mergeCells count="2">
    <mergeCell ref="A1:J1"/>
    <mergeCell ref="A2:J2"/>
  </mergeCells>
  <conditionalFormatting sqref="J6:J12">
    <cfRule type="containsText" priority="1" operator="containsText" dxfId="1" text="Priority"/>
    <cfRule type="containsText" priority="2" operator="containsText" dxfId="0" text="No-go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45" customWidth="1" min="2" max="2"/>
    <col width="48" customWidth="1" min="3" max="3"/>
    <col width="42" customWidth="1" min="4" max="4"/>
    <col width="2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32" customHeight="1">
      <c r="A1" s="197" t="inlineStr">
        <is>
          <t>Freediving Deep Dive</t>
        </is>
      </c>
    </row>
    <row r="2" ht="30" customHeight="1">
      <c r="A2" s="198" t="inlineStr">
        <is>
          <t>Conclusion: attractive founder/category fit, but not a launchable general store until the supplier structure changes</t>
        </is>
      </c>
    </row>
    <row r="3">
      <c r="A3" s="170" t="n"/>
      <c r="B3" s="170" t="n"/>
      <c r="C3" s="170" t="n"/>
      <c r="D3" s="170" t="n"/>
      <c r="E3" s="170" t="n"/>
      <c r="F3" s="170" t="n"/>
      <c r="G3" s="170" t="n"/>
      <c r="H3" s="170" t="n"/>
      <c r="I3" s="170" t="n"/>
      <c r="J3" s="170" t="n"/>
    </row>
    <row r="4" ht="24" customHeight="1">
      <c r="A4" s="181" t="inlineStr">
        <is>
          <t>Verdict</t>
        </is>
      </c>
    </row>
    <row r="5">
      <c r="A5" s="265" t="inlineStr">
        <is>
          <t>NO-GO as a broad UK catalogue today. The UK has an active but small community and premium products can reach £400–£675+; however, Diveinn states UK prices already include VAT and duties, major brands sell direct, and UK specialists already stock premium lines. The viable version is an exclusive/protected premium fit-and-demo business, not 'the same EU catalogue held in Britain'.</t>
        </is>
      </c>
      <c r="B5" s="244" t="n"/>
      <c r="C5" s="244" t="n"/>
      <c r="D5" s="244" t="n"/>
      <c r="E5" s="244" t="n"/>
      <c r="F5" s="244" t="n"/>
      <c r="G5" s="244" t="n"/>
      <c r="H5" s="244" t="n"/>
      <c r="I5" s="244" t="n"/>
      <c r="J5" s="245" t="n"/>
    </row>
    <row r="6">
      <c r="A6" s="246" t="n"/>
      <c r="J6" s="247" t="n"/>
    </row>
    <row r="7">
      <c r="A7" s="246" t="n"/>
      <c r="J7" s="247" t="n"/>
    </row>
    <row r="8">
      <c r="A8" s="248" t="n"/>
      <c r="B8" s="249" t="n"/>
      <c r="C8" s="249" t="n"/>
      <c r="D8" s="249" t="n"/>
      <c r="E8" s="249" t="n"/>
      <c r="F8" s="249" t="n"/>
      <c r="G8" s="249" t="n"/>
      <c r="H8" s="249" t="n"/>
      <c r="I8" s="249" t="n"/>
      <c r="J8" s="250" t="n"/>
    </row>
    <row r="9">
      <c r="A9" s="170" t="n"/>
      <c r="B9" s="170" t="n"/>
      <c r="C9" s="170" t="n"/>
      <c r="D9" s="170" t="n"/>
      <c r="E9" s="170" t="n"/>
      <c r="F9" s="170" t="n"/>
      <c r="G9" s="170" t="n"/>
      <c r="H9" s="170" t="n"/>
      <c r="I9" s="170" t="n"/>
      <c r="J9" s="170" t="n"/>
    </row>
    <row r="10" ht="24" customHeight="1">
      <c r="A10" s="171" t="inlineStr">
        <is>
          <t>Evidence at a glance</t>
        </is>
      </c>
    </row>
    <row r="11">
      <c r="A11" s="234" t="inlineStr">
        <is>
          <t>Dimension</t>
        </is>
      </c>
      <c r="B11" s="234" t="inlineStr">
        <is>
          <t>Evidence</t>
        </is>
      </c>
      <c r="C11" s="234" t="inlineStr">
        <is>
          <t>Implication</t>
        </is>
      </c>
      <c r="D11" s="170" t="n"/>
      <c r="E11" s="170" t="n"/>
      <c r="F11" s="170" t="n"/>
      <c r="G11" s="170" t="n"/>
      <c r="H11" s="170" t="n"/>
      <c r="I11" s="170" t="n"/>
      <c r="J11" s="170" t="n"/>
    </row>
    <row r="12" ht="65" customHeight="1">
      <c r="A12" s="194" t="inlineStr">
        <is>
          <t>Community</t>
        </is>
      </c>
      <c r="B12" s="194" t="inlineStr">
        <is>
          <t>BFA governs the sport; NoTanx reports 500 UK pool sessions/year and multiple branches.</t>
        </is>
      </c>
      <c r="C12" s="194" t="inlineStr">
        <is>
          <t>Real enthusiasts and partnership nodes, but this does not prove a large national TAM. S02 S03</t>
        </is>
      </c>
      <c r="D12" s="170" t="n"/>
      <c r="E12" s="170" t="n"/>
      <c r="F12" s="170" t="n"/>
      <c r="G12" s="170" t="n"/>
      <c r="H12" s="170" t="n"/>
      <c r="I12" s="170" t="n"/>
      <c r="J12" s="170" t="n"/>
    </row>
    <row r="13" ht="65" customHeight="1">
      <c r="A13" s="194" t="inlineStr">
        <is>
          <t>Premium AOV</t>
        </is>
      </c>
      <c r="B13" s="194" t="inlineStr">
        <is>
          <t>Freediving London lists Alchemy models roughly £405–£675.</t>
        </is>
      </c>
      <c r="C13" s="194" t="inlineStr">
        <is>
          <t>Fins can support meaningful gross profit if wholesale protection exists. S04</t>
        </is>
      </c>
      <c r="D13" s="170" t="n"/>
      <c r="E13" s="170" t="n"/>
      <c r="F13" s="170" t="n"/>
      <c r="G13" s="170" t="n"/>
      <c r="H13" s="170" t="n"/>
      <c r="I13" s="170" t="n"/>
      <c r="J13" s="170" t="n"/>
    </row>
    <row r="14" ht="65" customHeight="1">
      <c r="A14" s="194" t="inlineStr">
        <is>
          <t>EU friction</t>
        </is>
      </c>
      <c r="B14" s="194" t="inlineStr">
        <is>
          <t>Diveinn says displayed UK price is final and VAT/duties are included.</t>
        </is>
      </c>
      <c r="C14" s="194" t="inlineStr">
        <is>
          <t>Fast UK delivery alone is a convenience, not a defensible price moat. S01</t>
        </is>
      </c>
      <c r="D14" s="170" t="n"/>
      <c r="E14" s="170" t="n"/>
      <c r="F14" s="170" t="n"/>
      <c r="G14" s="170" t="n"/>
      <c r="H14" s="170" t="n"/>
      <c r="I14" s="170" t="n"/>
      <c r="J14" s="170" t="n"/>
    </row>
    <row r="15" ht="65" customHeight="1">
      <c r="A15" s="194" t="inlineStr">
        <is>
          <t>UK competition</t>
        </is>
      </c>
      <c r="B15" s="194" t="inlineStr">
        <is>
          <t>Mike's Dive Store, Spearfishing UK and Freediving London already cover the category.</t>
        </is>
      </c>
      <c r="C15" s="194" t="inlineStr">
        <is>
          <t>A general catalogue enters an existing specialist set. S04 S06 S07</t>
        </is>
      </c>
      <c r="D15" s="170" t="n"/>
      <c r="E15" s="170" t="n"/>
      <c r="F15" s="170" t="n"/>
      <c r="G15" s="170" t="n"/>
      <c r="H15" s="170" t="n"/>
      <c r="I15" s="170" t="n"/>
      <c r="J15" s="170" t="n"/>
    </row>
    <row r="16" ht="65" customHeight="1">
      <c r="A16" s="194" t="inlineStr">
        <is>
          <t>Manufacturer power</t>
        </is>
      </c>
      <c r="B16" s="194" t="inlineStr">
        <is>
          <t>Premium brands operate direct ecommerce/content.</t>
        </is>
      </c>
      <c r="C16" s="194" t="inlineStr">
        <is>
          <t>Identical-SKU reselling risks the same squeeze experienced in ropes. S05</t>
        </is>
      </c>
      <c r="D16" s="170" t="n"/>
      <c r="E16" s="170" t="n"/>
      <c r="F16" s="170" t="n"/>
      <c r="G16" s="170" t="n"/>
      <c r="H16" s="170" t="n"/>
      <c r="I16" s="170" t="n"/>
      <c r="J16" s="170" t="n"/>
    </row>
    <row r="17">
      <c r="A17" s="170" t="n"/>
      <c r="B17" s="170" t="n"/>
      <c r="C17" s="170" t="n"/>
      <c r="D17" s="170" t="n"/>
      <c r="E17" s="170" t="n"/>
      <c r="F17" s="170" t="n"/>
      <c r="G17" s="170" t="n"/>
      <c r="H17" s="170" t="n"/>
      <c r="I17" s="170" t="n"/>
      <c r="J17" s="170" t="n"/>
    </row>
    <row r="18" ht="24" customHeight="1">
      <c r="A18" s="191" t="inlineStr">
        <is>
          <t>What would make it investable</t>
        </is>
      </c>
    </row>
    <row r="19">
      <c r="A19" s="234" t="inlineStr">
        <is>
          <t>Requirement</t>
        </is>
      </c>
      <c r="B19" s="234" t="inlineStr">
        <is>
          <t>Minimum</t>
        </is>
      </c>
      <c r="C19" s="234" t="inlineStr">
        <is>
          <t>Why</t>
        </is>
      </c>
      <c r="D19" s="234" t="inlineStr">
        <is>
          <t>Evidence to obtain</t>
        </is>
      </c>
      <c r="E19" s="234" t="inlineStr">
        <is>
          <t>Fail result</t>
        </is>
      </c>
      <c r="F19" s="170" t="n"/>
      <c r="G19" s="170" t="n"/>
      <c r="H19" s="170" t="n"/>
      <c r="I19" s="170" t="n"/>
      <c r="J19" s="170" t="n"/>
    </row>
    <row r="20" ht="62" customHeight="1">
      <c r="A20" s="194" t="inlineStr">
        <is>
          <t>Protected line</t>
        </is>
      </c>
      <c r="B20" s="194" t="inlineStr">
        <is>
          <t>Exclusive UK, protected channel/segment or genuinely unique SKU</t>
        </is>
      </c>
      <c r="C20" s="194" t="inlineStr">
        <is>
          <t>Prevents direct price comparison</t>
        </is>
      </c>
      <c r="D20" s="194" t="inlineStr">
        <is>
          <t>Signed distribution agreement</t>
        </is>
      </c>
      <c r="E20" s="194" t="inlineStr">
        <is>
          <t>Do not launch</t>
        </is>
      </c>
      <c r="F20" s="170" t="n"/>
      <c r="G20" s="170" t="n"/>
      <c r="H20" s="170" t="n"/>
      <c r="I20" s="170" t="n"/>
      <c r="J20" s="170" t="n"/>
    </row>
    <row r="21" ht="62" customHeight="1">
      <c r="A21" s="194" t="inlineStr">
        <is>
          <t>Price protection</t>
        </is>
      </c>
      <c r="B21" s="194" t="inlineStr">
        <is>
          <t>12-month wholesale price or ≥90-day notice; quotes honoured</t>
        </is>
      </c>
      <c r="C21" s="194" t="inlineStr">
        <is>
          <t>Prevents Access Ropes repeat</t>
        </is>
      </c>
      <c r="D21" s="194" t="inlineStr">
        <is>
          <t>Price schedule + quote validity</t>
        </is>
      </c>
      <c r="E21" s="194" t="inlineStr">
        <is>
          <t>Do not launch</t>
        </is>
      </c>
      <c r="F21" s="170" t="n"/>
      <c r="G21" s="170" t="n"/>
      <c r="H21" s="170" t="n"/>
      <c r="I21" s="170" t="n"/>
      <c r="J21" s="170" t="n"/>
    </row>
    <row r="22" ht="62" customHeight="1">
      <c r="A22" s="194" t="inlineStr">
        <is>
          <t>DTC parity</t>
        </is>
      </c>
      <c r="B22" s="194" t="inlineStr">
        <is>
          <t>Brand checkout/promos never undercut your landed target price</t>
        </is>
      </c>
      <c r="C22" s="194" t="inlineStr">
        <is>
          <t>Keeps paid/SEO demand economically yours</t>
        </is>
      </c>
      <c r="D22" s="194" t="inlineStr">
        <is>
          <t>Written parity/MAP-equivalent terms</t>
        </is>
      </c>
      <c r="E22" s="194" t="inlineStr">
        <is>
          <t>Do not launch</t>
        </is>
      </c>
      <c r="F22" s="170" t="n"/>
      <c r="G22" s="170" t="n"/>
      <c r="H22" s="170" t="n"/>
      <c r="I22" s="170" t="n"/>
      <c r="J22" s="170" t="n"/>
    </row>
    <row r="23" ht="62" customHeight="1">
      <c r="A23" s="194" t="inlineStr">
        <is>
          <t>Margin</t>
        </is>
      </c>
      <c r="B23" s="194" t="inlineStr">
        <is>
          <t>≥35% landed GM on protected hero products; ≥£150 GP/order</t>
        </is>
      </c>
      <c r="C23" s="194" t="inlineStr">
        <is>
          <t>Funds fit advice, returns and acquisition</t>
        </is>
      </c>
      <c r="D23" s="194" t="inlineStr">
        <is>
          <t>Landed-cost model with real discounts</t>
        </is>
      </c>
      <c r="E23" s="194" t="inlineStr">
        <is>
          <t>Do not launch</t>
        </is>
      </c>
      <c r="F23" s="170" t="n"/>
      <c r="G23" s="170" t="n"/>
      <c r="H23" s="170" t="n"/>
      <c r="I23" s="170" t="n"/>
      <c r="J23" s="170" t="n"/>
    </row>
    <row r="24" ht="62" customHeight="1">
      <c r="A24" s="194" t="inlineStr">
        <is>
          <t>Resilience</t>
        </is>
      </c>
      <c r="B24" s="194" t="inlineStr">
        <is>
          <t>Two complementary premium lines or own-brand accessory path</t>
        </is>
      </c>
      <c r="C24" s="194" t="inlineStr">
        <is>
          <t>Reduces single-brand dependence</t>
        </is>
      </c>
      <c r="D24" s="194" t="inlineStr">
        <is>
          <t>Second supplier / contract sample</t>
        </is>
      </c>
      <c r="E24" s="194" t="inlineStr">
        <is>
          <t>Stay pilot-only</t>
        </is>
      </c>
      <c r="F24" s="170" t="n"/>
      <c r="G24" s="170" t="n"/>
      <c r="H24" s="170" t="n"/>
      <c r="I24" s="170" t="n"/>
      <c r="J24" s="170" t="n"/>
    </row>
    <row r="25" ht="62" customHeight="1">
      <c r="A25" s="194" t="inlineStr">
        <is>
          <t>Warranty</t>
        </is>
      </c>
      <c r="B25" s="194" t="inlineStr">
        <is>
          <t>UK turnaround and clear fault/fit return rules</t>
        </is>
      </c>
      <c r="C25" s="194" t="inlineStr">
        <is>
          <t>Carbon fins/wetsuits need trust</t>
        </is>
      </c>
      <c r="D25" s="194" t="inlineStr">
        <is>
          <t>RMA SLA and freight ownership</t>
        </is>
      </c>
      <c r="E25" s="194" t="inlineStr">
        <is>
          <t>Do not stock</t>
        </is>
      </c>
      <c r="F25" s="170" t="n"/>
      <c r="G25" s="170" t="n"/>
      <c r="H25" s="170" t="n"/>
      <c r="I25" s="170" t="n"/>
      <c r="J25" s="170" t="n"/>
    </row>
    <row r="26">
      <c r="A26" s="170" t="n"/>
      <c r="B26" s="170" t="n"/>
      <c r="C26" s="170" t="n"/>
      <c r="D26" s="170" t="n"/>
      <c r="E26" s="170" t="n"/>
      <c r="F26" s="170" t="n"/>
      <c r="G26" s="170" t="n"/>
      <c r="H26" s="170" t="n"/>
      <c r="I26" s="170" t="n"/>
      <c r="J26" s="170" t="n"/>
    </row>
    <row r="27" ht="24" customHeight="1">
      <c r="A27" s="171" t="inlineStr">
        <is>
          <t>Viable offer design if the gate passes</t>
        </is>
      </c>
    </row>
    <row r="28">
      <c r="A28" s="234" t="inlineStr">
        <is>
          <t>Layer</t>
        </is>
      </c>
      <c r="B28" s="234" t="inlineStr">
        <is>
          <t>Offer</t>
        </is>
      </c>
      <c r="C28" s="234" t="inlineStr">
        <is>
          <t>Indicative basket</t>
        </is>
      </c>
      <c r="D28" s="234" t="inlineStr">
        <is>
          <t>Moat</t>
        </is>
      </c>
      <c r="E28" s="234" t="inlineStr">
        <is>
          <t>Commercial role</t>
        </is>
      </c>
      <c r="F28" s="170" t="n"/>
      <c r="G28" s="170" t="n"/>
      <c r="H28" s="170" t="n"/>
      <c r="I28" s="170" t="n"/>
      <c r="J28" s="170" t="n"/>
    </row>
    <row r="29">
      <c r="A29" s="194" t="inlineStr">
        <is>
          <t>Entry</t>
        </is>
      </c>
      <c r="B29" s="194" t="inlineStr">
        <is>
          <t>Club demo / fit session and digital fit questionnaire</t>
        </is>
      </c>
      <c r="C29" s="194" t="inlineStr">
        <is>
          <t>Lead / refundable fitting fee</t>
        </is>
      </c>
      <c r="D29" s="194" t="inlineStr">
        <is>
          <t>Community + expertise</t>
        </is>
      </c>
      <c r="E29" s="194" t="inlineStr">
        <is>
          <t>Qualify serious buyers</t>
        </is>
      </c>
      <c r="F29" s="170" t="n"/>
      <c r="G29" s="170" t="n"/>
      <c r="H29" s="170" t="n"/>
      <c r="I29" s="170" t="n"/>
      <c r="J29" s="170" t="n"/>
    </row>
    <row r="30">
      <c r="A30" s="194" t="inlineStr">
        <is>
          <t>Core</t>
        </is>
      </c>
      <c r="B30" s="194" t="inlineStr">
        <is>
          <t>Carbon fin + foot pocket + fitting package</t>
        </is>
      </c>
      <c r="C30" s="194" t="inlineStr">
        <is>
          <t>£450–£700</t>
        </is>
      </c>
      <c r="D30" s="194" t="inlineStr">
        <is>
          <t>Protected line + demo</t>
        </is>
      </c>
      <c r="E30" s="194" t="inlineStr">
        <is>
          <t>Hero gross profit</t>
        </is>
      </c>
      <c r="F30" s="170" t="n"/>
      <c r="G30" s="170" t="n"/>
      <c r="H30" s="170" t="n"/>
      <c r="I30" s="170" t="n"/>
      <c r="J30" s="170" t="n"/>
    </row>
    <row r="31">
      <c r="A31" s="194" t="inlineStr">
        <is>
          <t>Premium</t>
        </is>
      </c>
      <c r="B31" s="194" t="inlineStr">
        <is>
          <t>Fins + made-to-measure wetsuit + computer</t>
        </is>
      </c>
      <c r="C31" s="194" t="inlineStr">
        <is>
          <t>£900–£1,500</t>
        </is>
      </c>
      <c r="D31" s="194" t="inlineStr">
        <is>
          <t>Fit, bundled advice and local aftercare</t>
        </is>
      </c>
      <c r="E31" s="194" t="inlineStr">
        <is>
          <t>Raises AOV</t>
        </is>
      </c>
      <c r="F31" s="170" t="n"/>
      <c r="G31" s="170" t="n"/>
      <c r="H31" s="170" t="n"/>
      <c r="I31" s="170" t="n"/>
      <c r="J31" s="170" t="n"/>
    </row>
    <row r="32">
      <c r="A32" s="194" t="inlineStr">
        <is>
          <t>Repeat</t>
        </is>
      </c>
      <c r="B32" s="194" t="inlineStr">
        <is>
          <t>Lanyards, weights, masks, bags, care and replacement parts</t>
        </is>
      </c>
      <c r="C32" s="194" t="inlineStr">
        <is>
          <t>£25–£200</t>
        </is>
      </c>
      <c r="D32" s="194" t="inlineStr">
        <is>
          <t>Owned bundles / content</t>
        </is>
      </c>
      <c r="E32" s="194" t="inlineStr">
        <is>
          <t>Retention and cross-sell</t>
        </is>
      </c>
      <c r="F32" s="170" t="n"/>
      <c r="G32" s="170" t="n"/>
      <c r="H32" s="170" t="n"/>
      <c r="I32" s="170" t="n"/>
      <c r="J32" s="170" t="n"/>
    </row>
    <row r="33">
      <c r="A33" s="194" t="inlineStr">
        <is>
          <t>Channel</t>
        </is>
      </c>
      <c r="B33" s="194" t="inlineStr">
        <is>
          <t>Instructor/club partner programme</t>
        </is>
      </c>
      <c r="C33" s="194" t="inlineStr">
        <is>
          <t>Revenue share or demo credits</t>
        </is>
      </c>
      <c r="D33" s="194" t="inlineStr">
        <is>
          <t>Trusted distribution</t>
        </is>
      </c>
      <c r="E33" s="194" t="inlineStr">
        <is>
          <t>Lower CAC</t>
        </is>
      </c>
      <c r="F33" s="170" t="n"/>
      <c r="G33" s="170" t="n"/>
      <c r="H33" s="170" t="n"/>
      <c r="I33" s="170" t="n"/>
      <c r="J33" s="170" t="n"/>
    </row>
    <row r="34">
      <c r="A34" s="170" t="n"/>
      <c r="B34" s="170" t="n"/>
      <c r="C34" s="170" t="n"/>
      <c r="D34" s="170" t="n"/>
      <c r="E34" s="170" t="n"/>
      <c r="F34" s="170" t="n"/>
      <c r="G34" s="170" t="n"/>
      <c r="H34" s="170" t="n"/>
      <c r="I34" s="170" t="n"/>
      <c r="J34" s="170" t="n"/>
    </row>
    <row r="35" ht="24" customHeight="1">
      <c r="A35" s="204" t="inlineStr">
        <is>
          <t>Four-week proof test (only after supplier conversations)</t>
        </is>
      </c>
    </row>
    <row r="36">
      <c r="A36" s="194" t="inlineStr">
        <is>
          <t>Customer discovery</t>
        </is>
      </c>
      <c r="B36" s="194" t="inlineStr">
        <is>
          <t>10 instructor/club interviews + 20 serious divers</t>
        </is>
      </c>
      <c r="C36" s="194" t="inlineStr">
        <is>
          <t>≥60% name a fit/availability/aftercare pain worth paying a UK premium for</t>
        </is>
      </c>
      <c r="D36" s="170" t="n"/>
      <c r="E36" s="170" t="n"/>
      <c r="F36" s="170" t="n"/>
      <c r="G36" s="170" t="n"/>
      <c r="H36" s="170" t="n"/>
      <c r="I36" s="170" t="n"/>
      <c r="J36" s="170" t="n"/>
    </row>
    <row r="37">
      <c r="A37" s="194" t="inlineStr">
        <is>
          <t>Supplier discovery</t>
        </is>
      </c>
      <c r="B37" s="194" t="inlineStr">
        <is>
          <t>8 premium/emerging brand conversations</t>
        </is>
      </c>
      <c r="C37" s="194" t="inlineStr">
        <is>
          <t>At least one passes every hard gate above</t>
        </is>
      </c>
      <c r="D37" s="170" t="n"/>
      <c r="E37" s="170" t="n"/>
      <c r="F37" s="170" t="n"/>
      <c r="G37" s="170" t="n"/>
      <c r="H37" s="170" t="n"/>
      <c r="I37" s="170" t="n"/>
      <c r="J37" s="170" t="n"/>
    </row>
    <row r="38">
      <c r="A38" s="194" t="inlineStr">
        <is>
          <t>Demand capture</t>
        </is>
      </c>
      <c r="B38" s="194" t="inlineStr">
        <is>
          <t>Three product/fit pages and club referrals; no unfulfillable sales</t>
        </is>
      </c>
      <c r="C38" s="194" t="inlineStr">
        <is>
          <t>30 qualified UK leads and 5 refundable fitting/deposit intents</t>
        </is>
      </c>
      <c r="D38" s="170" t="n"/>
      <c r="E38" s="170" t="n"/>
      <c r="F38" s="170" t="n"/>
      <c r="G38" s="170" t="n"/>
      <c r="H38" s="170" t="n"/>
      <c r="I38" s="170" t="n"/>
      <c r="J38" s="170" t="n"/>
    </row>
    <row r="39">
      <c r="A39" s="194" t="inlineStr">
        <is>
          <t>Economics</t>
        </is>
      </c>
      <c r="B39" s="194" t="inlineStr">
        <is>
          <t>Quote real delivery, fees, returns and support</t>
        </is>
      </c>
      <c r="C39" s="194" t="inlineStr">
        <is>
          <t>≥35% landed GM, ≥15% contribution, ≥£150 gross profit/order</t>
        </is>
      </c>
      <c r="D39" s="170" t="n"/>
      <c r="E39" s="170" t="n"/>
      <c r="F39" s="170" t="n"/>
      <c r="G39" s="170" t="n"/>
      <c r="H39" s="170" t="n"/>
      <c r="I39" s="170" t="n"/>
      <c r="J39" s="170" t="n"/>
    </row>
    <row r="40">
      <c r="A40" s="194" t="inlineStr">
        <is>
          <t>Decision</t>
        </is>
      </c>
      <c r="B40" s="194" t="inlineStr">
        <is>
          <t>Review at day 28</t>
        </is>
      </c>
      <c r="C40" s="194" t="inlineStr">
        <is>
          <t>Proceed only if supplier gate passes and ≥60% forecast revenue is from protected SKUs</t>
        </is>
      </c>
      <c r="D40" s="170" t="n"/>
      <c r="E40" s="170" t="n"/>
      <c r="F40" s="170" t="n"/>
      <c r="G40" s="170" t="n"/>
      <c r="H40" s="170" t="n"/>
      <c r="I40" s="170" t="n"/>
      <c r="J40" s="170" t="n"/>
    </row>
  </sheetData>
  <mergeCells count="8">
    <mergeCell ref="A1:J1"/>
    <mergeCell ref="A18:J18"/>
    <mergeCell ref="A27:J27"/>
    <mergeCell ref="A35:J35"/>
    <mergeCell ref="A4:J4"/>
    <mergeCell ref="A2:J2"/>
    <mergeCell ref="A10:J10"/>
    <mergeCell ref="A5:J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28" customWidth="1" min="3" max="3"/>
    <col width="11" customWidth="1" min="4" max="4"/>
    <col width="30" customWidth="1" min="5" max="5"/>
    <col width="11" customWidth="1" min="6" max="6"/>
    <col width="30" customWidth="1" min="7" max="7"/>
    <col width="11" customWidth="1" min="8" max="8"/>
    <col width="30" customWidth="1" min="9" max="9"/>
    <col width="11" customWidth="1" min="10" max="10"/>
    <col width="14" customWidth="1" min="11" max="11"/>
    <col width="13" customWidth="1" min="12" max="12"/>
    <col width="11" customWidth="1" min="13" max="13"/>
    <col width="16" customWidth="1" min="14" max="14"/>
  </cols>
  <sheetData>
    <row r="1" ht="32" customHeight="1">
      <c r="A1" s="197" t="inlineStr">
        <is>
          <t>Keyword Validation</t>
        </is>
      </c>
    </row>
    <row r="2" ht="30" customHeight="1">
      <c r="A2" s="198" t="inlineStr">
        <is>
          <t>Yellow cells are intentionally blank. Paste current UK monthly volume/CPC/KD from Semrush, Ahrefs or Keyword Planner.</t>
        </is>
      </c>
    </row>
    <row r="3">
      <c r="A3" s="170" t="n"/>
      <c r="B3" s="170" t="n"/>
      <c r="C3" s="170" t="n"/>
      <c r="D3" s="170" t="n"/>
      <c r="E3" s="170" t="n"/>
      <c r="F3" s="170" t="n"/>
      <c r="G3" s="170" t="n"/>
      <c r="H3" s="170" t="n"/>
      <c r="I3" s="170" t="n"/>
      <c r="J3" s="170" t="n"/>
      <c r="K3" s="170" t="n"/>
      <c r="L3" s="170" t="n"/>
      <c r="M3" s="170" t="n"/>
      <c r="N3" s="170" t="n"/>
    </row>
    <row r="4">
      <c r="A4" s="199" t="inlineStr">
        <is>
          <t>Directional tiers are screening judgements—not substitute keyword volumes. Use exact data only on the top two supplier-safe ideas after supplier terms are credible.</t>
        </is>
      </c>
    </row>
    <row r="5">
      <c r="A5" s="170" t="n"/>
      <c r="B5" s="170" t="n"/>
      <c r="C5" s="170" t="n"/>
      <c r="D5" s="170" t="n"/>
      <c r="E5" s="170" t="n"/>
      <c r="F5" s="170" t="n"/>
      <c r="G5" s="170" t="n"/>
      <c r="H5" s="170" t="n"/>
      <c r="I5" s="170" t="n"/>
      <c r="J5" s="170" t="n"/>
      <c r="K5" s="170" t="n"/>
      <c r="L5" s="170" t="n"/>
      <c r="M5" s="170" t="n"/>
      <c r="N5" s="170" t="n"/>
    </row>
    <row r="6">
      <c r="A6" s="234" t="inlineStr">
        <is>
          <t>Opportunity</t>
        </is>
      </c>
      <c r="B6" s="234" t="inlineStr">
        <is>
          <t>Directional tier</t>
        </is>
      </c>
      <c r="C6" s="234" t="inlineStr">
        <is>
          <t>Keyword 1</t>
        </is>
      </c>
      <c r="D6" s="234" t="inlineStr">
        <is>
          <t>UK vol 1</t>
        </is>
      </c>
      <c r="E6" s="234" t="inlineStr">
        <is>
          <t>Keyword 2</t>
        </is>
      </c>
      <c r="F6" s="234" t="inlineStr">
        <is>
          <t>UK vol 2</t>
        </is>
      </c>
      <c r="G6" s="234" t="inlineStr">
        <is>
          <t>Keyword 3</t>
        </is>
      </c>
      <c r="H6" s="234" t="inlineStr">
        <is>
          <t>UK vol 3</t>
        </is>
      </c>
      <c r="I6" s="234" t="inlineStr">
        <is>
          <t>Keyword 4</t>
        </is>
      </c>
      <c r="J6" s="234" t="inlineStr">
        <is>
          <t>UK vol 4</t>
        </is>
      </c>
      <c r="K6" s="234" t="inlineStr">
        <is>
          <t>Basket volume</t>
        </is>
      </c>
      <c r="L6" s="234" t="inlineStr">
        <is>
          <t>Primary CPC £</t>
        </is>
      </c>
      <c r="M6" s="234" t="inlineStr">
        <is>
          <t>Primary KD</t>
        </is>
      </c>
      <c r="N6" s="234" t="inlineStr">
        <is>
          <t>Data status</t>
        </is>
      </c>
    </row>
    <row r="7" ht="40" customHeight="1">
      <c r="A7" s="194" t="inlineStr">
        <is>
          <t>Rainwater &amp; drought-resilience systems</t>
        </is>
      </c>
      <c r="B7" s="194" t="inlineStr">
        <is>
          <t>Medium, rising</t>
        </is>
      </c>
      <c r="C7" s="194" t="inlineStr">
        <is>
          <t>rainwater harvesting system</t>
        </is>
      </c>
      <c r="D7" s="266" t="n">
        <v>1300</v>
      </c>
      <c r="E7" s="267" t="inlineStr">
        <is>
          <t>rainwater harvesting system UK</t>
        </is>
      </c>
      <c r="F7" s="266" t="n">
        <v>60</v>
      </c>
      <c r="G7" s="267" t="inlineStr">
        <is>
          <t>rainwater tank</t>
        </is>
      </c>
      <c r="H7" s="266" t="n">
        <v>450</v>
      </c>
      <c r="I7" s="267" t="inlineStr">
        <is>
          <t>rainwater recycling system</t>
        </is>
      </c>
      <c r="J7" s="266" t="n">
        <v>150</v>
      </c>
      <c r="K7" s="267" t="n">
        <v>1960</v>
      </c>
      <c r="L7" s="268" t="n">
        <v>0.28</v>
      </c>
      <c r="M7" s="214" t="n">
        <v>3</v>
      </c>
      <c r="N7" s="194" t="inlineStr">
        <is>
          <t>Ahrefs GB Aug 2026 (partial; n/a = not pulled)</t>
        </is>
      </c>
    </row>
    <row r="8" ht="40" customHeight="1">
      <c r="A8" s="194" t="inlineStr">
        <is>
          <t>Performance acoustic room kits</t>
        </is>
      </c>
      <c r="B8" s="194" t="inlineStr">
        <is>
          <t>High</t>
        </is>
      </c>
      <c r="C8" s="194" t="inlineStr">
        <is>
          <t>acoustic panels</t>
        </is>
      </c>
      <c r="D8" s="266" t="n">
        <v>25000</v>
      </c>
      <c r="E8" s="267" t="inlineStr">
        <is>
          <t>acoustic treatment</t>
        </is>
      </c>
      <c r="F8" s="266" t="n">
        <v>400</v>
      </c>
      <c r="G8" s="267" t="inlineStr">
        <is>
          <t>acoustic room kit</t>
        </is>
      </c>
      <c r="H8" s="266" t="n">
        <v>0</v>
      </c>
      <c r="I8" s="267" t="inlineStr">
        <is>
          <t>studio acoustic panels</t>
        </is>
      </c>
      <c r="J8" s="266" t="n">
        <v>150</v>
      </c>
      <c r="K8" s="267" t="n">
        <v>25550</v>
      </c>
      <c r="L8" s="268" t="n">
        <v>0.87</v>
      </c>
      <c r="M8" s="214" t="n">
        <v>3</v>
      </c>
      <c r="N8" s="194" t="inlineStr">
        <is>
          <t>Ahrefs GB Aug 2026 (partial; n/a = not pulled)</t>
        </is>
      </c>
    </row>
    <row r="9" ht="40" customHeight="1">
      <c r="A9" s="194" t="inlineStr">
        <is>
          <t>Sensory-room packages</t>
        </is>
      </c>
      <c r="B9" s="194" t="inlineStr">
        <is>
          <t>Medium</t>
        </is>
      </c>
      <c r="C9" s="194" t="inlineStr">
        <is>
          <t>sensory room equipment</t>
        </is>
      </c>
      <c r="D9" s="266" t="n">
        <v>1000</v>
      </c>
      <c r="E9" s="267" t="inlineStr">
        <is>
          <t>sensory room package</t>
        </is>
      </c>
      <c r="F9" s="266" t="n">
        <v>10</v>
      </c>
      <c r="G9" s="267" t="inlineStr">
        <is>
          <t>sensory room for school</t>
        </is>
      </c>
      <c r="H9" s="266" t="n">
        <v>0</v>
      </c>
      <c r="I9" s="267" t="inlineStr">
        <is>
          <t>sensory room design</t>
        </is>
      </c>
      <c r="J9" s="266" t="inlineStr">
        <is>
          <t>n/a</t>
        </is>
      </c>
      <c r="K9" s="267" t="n">
        <v>1010</v>
      </c>
      <c r="L9" s="268" t="n">
        <v>0.47</v>
      </c>
      <c r="M9" s="214" t="n">
        <v>2</v>
      </c>
      <c r="N9" s="194" t="inlineStr">
        <is>
          <t>Ahrefs GB Aug 2026 (partial; n/a = not pulled)</t>
        </is>
      </c>
    </row>
    <row r="10" ht="40" customHeight="1">
      <c r="A10" s="194" t="inlineStr">
        <is>
          <t>Separating &amp; composting toilet systems</t>
        </is>
      </c>
      <c r="B10" s="194" t="inlineStr">
        <is>
          <t>Medium</t>
        </is>
      </c>
      <c r="C10" s="194" t="inlineStr">
        <is>
          <t>composting toilet</t>
        </is>
      </c>
      <c r="D10" s="266" t="n">
        <v>1900</v>
      </c>
      <c r="E10" s="267" t="inlineStr">
        <is>
          <t>separating toilet</t>
        </is>
      </c>
      <c r="F10" s="266" t="n">
        <v>150</v>
      </c>
      <c r="G10" s="267" t="inlineStr">
        <is>
          <t>waterless toilet</t>
        </is>
      </c>
      <c r="H10" s="266" t="n">
        <v>250</v>
      </c>
      <c r="I10" s="267" t="inlineStr">
        <is>
          <t>campervan composting toilet</t>
        </is>
      </c>
      <c r="J10" s="266" t="n">
        <v>100</v>
      </c>
      <c r="K10" s="267" t="n">
        <v>2400</v>
      </c>
      <c r="L10" s="268" t="n">
        <v>0.16</v>
      </c>
      <c r="M10" s="214" t="n">
        <v>3</v>
      </c>
      <c r="N10" s="194" t="inlineStr">
        <is>
          <t>Ahrefs GB Aug 2026 (partial; n/a = not pulled)</t>
        </is>
      </c>
    </row>
    <row r="11" ht="40" customHeight="1">
      <c r="A11" s="194" t="inlineStr">
        <is>
          <t>Pond-health &amp; filtration systems</t>
        </is>
      </c>
      <c r="B11" s="194" t="inlineStr">
        <is>
          <t>High, seasonal</t>
        </is>
      </c>
      <c r="C11" s="194" t="inlineStr">
        <is>
          <t>pond filter</t>
        </is>
      </c>
      <c r="D11" s="266" t="n">
        <v>2600</v>
      </c>
      <c r="E11" s="267" t="inlineStr">
        <is>
          <t>koi pond filter</t>
        </is>
      </c>
      <c r="F11" s="266" t="n">
        <v>350</v>
      </c>
      <c r="G11" s="267" t="inlineStr">
        <is>
          <t>pond filtration system</t>
        </is>
      </c>
      <c r="H11" s="266" t="n">
        <v>150</v>
      </c>
      <c r="I11" s="267" t="inlineStr">
        <is>
          <t>drum filter pond</t>
        </is>
      </c>
      <c r="J11" s="266" t="n">
        <v>10</v>
      </c>
      <c r="K11" s="267" t="n">
        <v>3110</v>
      </c>
      <c r="L11" s="268" t="n">
        <v>0.16</v>
      </c>
      <c r="M11" s="214" t="n">
        <v>2</v>
      </c>
      <c r="N11" s="194" t="inlineStr">
        <is>
          <t>Ahrefs GB Aug 2026 (partial; n/a = not pulled)</t>
        </is>
      </c>
    </row>
    <row r="12" ht="40" customHeight="1">
      <c r="A12" s="194" t="inlineStr">
        <is>
          <t>Microcement installer systems</t>
        </is>
      </c>
      <c r="B12" s="194" t="inlineStr">
        <is>
          <t>High</t>
        </is>
      </c>
      <c r="C12" s="194" t="inlineStr">
        <is>
          <t>microcement</t>
        </is>
      </c>
      <c r="D12" s="266" t="n">
        <v>7000</v>
      </c>
      <c r="E12" s="267" t="inlineStr">
        <is>
          <t>microcement kit</t>
        </is>
      </c>
      <c r="F12" s="266" t="n">
        <v>200</v>
      </c>
      <c r="G12" s="267" t="inlineStr">
        <is>
          <t>microcement bathroom</t>
        </is>
      </c>
      <c r="H12" s="266" t="n">
        <v>4300</v>
      </c>
      <c r="I12" s="267" t="inlineStr">
        <is>
          <t>microcement supplier</t>
        </is>
      </c>
      <c r="J12" s="266" t="inlineStr">
        <is>
          <t>n/a</t>
        </is>
      </c>
      <c r="K12" s="267" t="n">
        <v>11500</v>
      </c>
      <c r="L12" s="268" t="n">
        <v>0.55</v>
      </c>
      <c r="M12" s="214" t="n">
        <v>3</v>
      </c>
      <c r="N12" s="194" t="inlineStr">
        <is>
          <t>Ahrefs GB Aug 2026 (partial; n/a = not pulled)</t>
        </is>
      </c>
    </row>
    <row r="13" ht="40" customHeight="1">
      <c r="A13" s="194" t="inlineStr">
        <is>
          <t>Golf simulator components &amp; rooms</t>
        </is>
      </c>
      <c r="B13" s="194" t="inlineStr">
        <is>
          <t>High</t>
        </is>
      </c>
      <c r="C13" s="194" t="inlineStr">
        <is>
          <t>golf simulator</t>
        </is>
      </c>
      <c r="D13" s="266" t="n">
        <v>13000</v>
      </c>
      <c r="E13" s="267" t="inlineStr">
        <is>
          <t>golf simulator UK</t>
        </is>
      </c>
      <c r="F13" s="266" t="n">
        <v>350</v>
      </c>
      <c r="G13" s="267" t="inlineStr">
        <is>
          <t>golf launch monitor</t>
        </is>
      </c>
      <c r="H13" s="266" t="n">
        <v>1900</v>
      </c>
      <c r="I13" s="267" t="inlineStr">
        <is>
          <t>golf simulator enclosure</t>
        </is>
      </c>
      <c r="J13" s="266" t="inlineStr">
        <is>
          <t>n/a</t>
        </is>
      </c>
      <c r="K13" s="267" t="n">
        <v>15250</v>
      </c>
      <c r="L13" s="268" t="n">
        <v>0.63</v>
      </c>
      <c r="M13" s="214" t="n">
        <v>7</v>
      </c>
      <c r="N13" s="194" t="inlineStr">
        <is>
          <t>Ahrefs GB Aug 2026 (partial; n/a = not pulled)</t>
        </is>
      </c>
    </row>
    <row r="14" ht="40" customHeight="1">
      <c r="A14" s="194" t="inlineStr">
        <is>
          <t>Electric outboards</t>
        </is>
      </c>
      <c r="B14" s="194" t="inlineStr">
        <is>
          <t>Medium</t>
        </is>
      </c>
      <c r="C14" s="194" t="inlineStr">
        <is>
          <t>electric outboard motor</t>
        </is>
      </c>
      <c r="D14" s="266" t="n">
        <v>2200</v>
      </c>
      <c r="E14" s="267" t="inlineStr">
        <is>
          <t>electric outboard UK</t>
        </is>
      </c>
      <c r="F14" s="266" t="inlineStr">
        <is>
          <t>n/a</t>
        </is>
      </c>
      <c r="G14" s="267" t="inlineStr">
        <is>
          <t>Torqeedo outboard</t>
        </is>
      </c>
      <c r="H14" s="266" t="n">
        <v>100</v>
      </c>
      <c r="I14" s="267" t="inlineStr">
        <is>
          <t>ePropulsion outboard</t>
        </is>
      </c>
      <c r="J14" s="266" t="inlineStr">
        <is>
          <t>n/a</t>
        </is>
      </c>
      <c r="K14" s="267" t="n">
        <v>2300</v>
      </c>
      <c r="L14" s="268" t="n">
        <v>0.24</v>
      </c>
      <c r="M14" s="214" t="n">
        <v>3</v>
      </c>
      <c r="N14" s="194" t="inlineStr">
        <is>
          <t>Ahrefs GB Aug 2026 (partial; n/a = not pulled)</t>
        </is>
      </c>
    </row>
    <row r="15" ht="40" customHeight="1">
      <c r="A15" s="194" t="inlineStr">
        <is>
          <t>Home pottery studio systems</t>
        </is>
      </c>
      <c r="B15" s="194" t="inlineStr">
        <is>
          <t>Medium</t>
        </is>
      </c>
      <c r="C15" s="194" t="inlineStr">
        <is>
          <t>pottery kiln</t>
        </is>
      </c>
      <c r="D15" s="266" t="n">
        <v>1400</v>
      </c>
      <c r="E15" s="267" t="inlineStr">
        <is>
          <t>pottery wheel</t>
        </is>
      </c>
      <c r="F15" s="266" t="n">
        <v>4300</v>
      </c>
      <c r="G15" s="267" t="inlineStr">
        <is>
          <t>electric kiln UK</t>
        </is>
      </c>
      <c r="H15" s="266" t="inlineStr">
        <is>
          <t>n/a</t>
        </is>
      </c>
      <c r="I15" s="267" t="inlineStr">
        <is>
          <t>home pottery studio</t>
        </is>
      </c>
      <c r="J15" s="266" t="inlineStr">
        <is>
          <t>n/a</t>
        </is>
      </c>
      <c r="K15" s="267" t="n">
        <v>5700</v>
      </c>
      <c r="L15" s="268" t="n">
        <v>0.08</v>
      </c>
      <c r="M15" s="214" t="n">
        <v>0</v>
      </c>
      <c r="N15" s="194" t="inlineStr">
        <is>
          <t>Ahrefs GB Aug 2026 (partial; n/a = not pulled)</t>
        </is>
      </c>
    </row>
    <row r="16" ht="40" customHeight="1">
      <c r="A16" s="194" t="inlineStr">
        <is>
          <t>Building diagnostic kits</t>
        </is>
      </c>
      <c r="B16" s="194" t="inlineStr">
        <is>
          <t>High</t>
        </is>
      </c>
      <c r="C16" s="194" t="inlineStr">
        <is>
          <t>thermal imaging camera</t>
        </is>
      </c>
      <c r="D16" s="266" t="n">
        <v>8800</v>
      </c>
      <c r="E16" s="267" t="inlineStr">
        <is>
          <t>thermal camera building inspection</t>
        </is>
      </c>
      <c r="F16" s="266" t="inlineStr">
        <is>
          <t>n/a</t>
        </is>
      </c>
      <c r="G16" s="267" t="inlineStr">
        <is>
          <t>FLIR thermal camera</t>
        </is>
      </c>
      <c r="H16" s="266" t="inlineStr">
        <is>
          <t>n/a</t>
        </is>
      </c>
      <c r="I16" s="267" t="inlineStr">
        <is>
          <t>damp survey equipment</t>
        </is>
      </c>
      <c r="J16" s="266" t="inlineStr">
        <is>
          <t>n/a</t>
        </is>
      </c>
      <c r="K16" s="267" t="n">
        <v>8800</v>
      </c>
      <c r="L16" s="268" t="n">
        <v>0.32</v>
      </c>
      <c r="M16" s="214" t="n">
        <v>5</v>
      </c>
      <c r="N16" s="194" t="inlineStr">
        <is>
          <t>Ahrefs GB Aug 2026 (partial; n/a = not pulled)</t>
        </is>
      </c>
    </row>
    <row r="17" ht="40" customHeight="1">
      <c r="A17" s="194" t="inlineStr">
        <is>
          <t>Sewing &amp; embroidery machines</t>
        </is>
      </c>
      <c r="B17" s="194" t="inlineStr">
        <is>
          <t>Very high</t>
        </is>
      </c>
      <c r="C17" s="194" t="inlineStr">
        <is>
          <t>sewing machine</t>
        </is>
      </c>
      <c r="D17" s="266" t="n">
        <v>37000</v>
      </c>
      <c r="E17" s="267" t="inlineStr">
        <is>
          <t>embroidery machine</t>
        </is>
      </c>
      <c r="F17" s="266" t="inlineStr">
        <is>
          <t>n/a</t>
        </is>
      </c>
      <c r="G17" s="267" t="inlineStr">
        <is>
          <t>computerised sewing machine</t>
        </is>
      </c>
      <c r="H17" s="266" t="inlineStr">
        <is>
          <t>n/a</t>
        </is>
      </c>
      <c r="I17" s="267" t="inlineStr">
        <is>
          <t>industrial embroidery machine</t>
        </is>
      </c>
      <c r="J17" s="266" t="inlineStr">
        <is>
          <t>n/a</t>
        </is>
      </c>
      <c r="K17" s="267" t="n">
        <v>37000</v>
      </c>
      <c r="L17" s="268" t="n">
        <v>0.16</v>
      </c>
      <c r="M17" s="214" t="n">
        <v>31</v>
      </c>
      <c r="N17" s="194" t="inlineStr">
        <is>
          <t>Ahrefs GB Aug 2026 (partial; n/a = not pulled)</t>
        </is>
      </c>
    </row>
    <row r="18" ht="40" customHeight="1">
      <c r="A18" s="194" t="inlineStr">
        <is>
          <t>Commercial/home Pilates reformers</t>
        </is>
      </c>
      <c r="B18" s="194" t="inlineStr">
        <is>
          <t>Very high</t>
        </is>
      </c>
      <c r="C18" s="194" t="inlineStr">
        <is>
          <t>Pilates reformer</t>
        </is>
      </c>
      <c r="D18" s="266" t="n">
        <v>22000</v>
      </c>
      <c r="E18" s="267" t="inlineStr">
        <is>
          <t>reformer Pilates machine</t>
        </is>
      </c>
      <c r="F18" s="266" t="inlineStr">
        <is>
          <t>n/a</t>
        </is>
      </c>
      <c r="G18" s="267" t="inlineStr">
        <is>
          <t>commercial Pilates reformer</t>
        </is>
      </c>
      <c r="H18" s="266" t="inlineStr">
        <is>
          <t>n/a</t>
        </is>
      </c>
      <c r="I18" s="267" t="inlineStr">
        <is>
          <t>foldable reformer</t>
        </is>
      </c>
      <c r="J18" s="266" t="inlineStr">
        <is>
          <t>n/a</t>
        </is>
      </c>
      <c r="K18" s="267" t="n">
        <v>22000</v>
      </c>
      <c r="L18" s="268" t="n">
        <v>0.47</v>
      </c>
      <c r="M18" s="214" t="n">
        <v>26</v>
      </c>
      <c r="N18" s="194" t="inlineStr">
        <is>
          <t>Ahrefs GB Aug 2026 (partial; n/a = not pulled)</t>
        </is>
      </c>
    </row>
    <row r="19" ht="40" customHeight="1">
      <c r="A19" s="194" t="inlineStr">
        <is>
          <t>Cold-plunge &amp; contrast therapy systems</t>
        </is>
      </c>
      <c r="B19" s="194" t="inlineStr">
        <is>
          <t>High</t>
        </is>
      </c>
      <c r="C19" s="194" t="inlineStr">
        <is>
          <t>cold plunge</t>
        </is>
      </c>
      <c r="D19" s="266" t="n">
        <v>3600</v>
      </c>
      <c r="E19" s="267" t="inlineStr">
        <is>
          <t>ice bath</t>
        </is>
      </c>
      <c r="F19" s="266" t="n">
        <v>19000</v>
      </c>
      <c r="G19" s="267" t="inlineStr">
        <is>
          <t>cold plunge chiller</t>
        </is>
      </c>
      <c r="H19" s="266" t="inlineStr">
        <is>
          <t>n/a</t>
        </is>
      </c>
      <c r="I19" s="267" t="inlineStr">
        <is>
          <t>home sauna and ice bath</t>
        </is>
      </c>
      <c r="J19" s="266" t="inlineStr">
        <is>
          <t>n/a</t>
        </is>
      </c>
      <c r="K19" s="267" t="n">
        <v>22600</v>
      </c>
      <c r="L19" s="268" t="n">
        <v>0.55</v>
      </c>
      <c r="M19" s="214" t="n">
        <v>55</v>
      </c>
      <c r="N19" s="194" t="inlineStr">
        <is>
          <t>Ahrefs GB Aug 2026 (partial; n/a = not pulled)</t>
        </is>
      </c>
    </row>
    <row r="20" ht="40" customHeight="1">
      <c r="A20" s="194" t="inlineStr">
        <is>
          <t>Garden irrigation systems</t>
        </is>
      </c>
      <c r="B20" s="194" t="inlineStr">
        <is>
          <t>High, seasonal</t>
        </is>
      </c>
      <c r="C20" s="194" t="inlineStr">
        <is>
          <t>garden irrigation system</t>
        </is>
      </c>
      <c r="D20" s="266" t="n">
        <v>1800</v>
      </c>
      <c r="E20" s="267" t="inlineStr">
        <is>
          <t>drip irrigation kit</t>
        </is>
      </c>
      <c r="F20" s="266" t="n">
        <v>150</v>
      </c>
      <c r="G20" s="267" t="inlineStr">
        <is>
          <t>automatic watering system</t>
        </is>
      </c>
      <c r="H20" s="266" t="inlineStr">
        <is>
          <t>n/a</t>
        </is>
      </c>
      <c r="I20" s="267" t="inlineStr">
        <is>
          <t>garden irrigation kit</t>
        </is>
      </c>
      <c r="J20" s="266" t="inlineStr">
        <is>
          <t>n/a</t>
        </is>
      </c>
      <c r="K20" s="267" t="n">
        <v>1950</v>
      </c>
      <c r="L20" s="268" t="n">
        <v>0.24</v>
      </c>
      <c r="M20" s="214" t="n">
        <v>5</v>
      </c>
      <c r="N20" s="194" t="inlineStr">
        <is>
          <t>Ahrefs GB Aug 2026 (partial; n/a = not pulled)</t>
        </is>
      </c>
    </row>
    <row r="21" ht="40" customHeight="1">
      <c r="A21" s="194" t="inlineStr">
        <is>
          <t>Robotic lawn mowers</t>
        </is>
      </c>
      <c r="B21" s="194" t="inlineStr">
        <is>
          <t>Very high</t>
        </is>
      </c>
      <c r="C21" s="194" t="inlineStr">
        <is>
          <t>robot lawn mower</t>
        </is>
      </c>
      <c r="D21" s="266" t="n">
        <v>17000</v>
      </c>
      <c r="E21" s="267" t="inlineStr">
        <is>
          <t>robot mower</t>
        </is>
      </c>
      <c r="F21" s="266" t="inlineStr">
        <is>
          <t>n/a</t>
        </is>
      </c>
      <c r="G21" s="267" t="inlineStr">
        <is>
          <t>wireless robot mower</t>
        </is>
      </c>
      <c r="H21" s="266" t="inlineStr">
        <is>
          <t>n/a</t>
        </is>
      </c>
      <c r="I21" s="267" t="inlineStr">
        <is>
          <t>robot mower installation</t>
        </is>
      </c>
      <c r="J21" s="266" t="inlineStr">
        <is>
          <t>n/a</t>
        </is>
      </c>
      <c r="K21" s="267" t="n">
        <v>17000</v>
      </c>
      <c r="L21" s="268" t="n">
        <v>0.2</v>
      </c>
      <c r="M21" s="214" t="n">
        <v>0</v>
      </c>
      <c r="N21" s="194" t="inlineStr">
        <is>
          <t>Ahrefs GB Aug 2026 (partial; n/a = not pulled)</t>
        </is>
      </c>
    </row>
    <row r="22" ht="40" customHeight="1">
      <c r="A22" s="194" t="inlineStr">
        <is>
          <t>Premium freediving equipment</t>
        </is>
      </c>
      <c r="B22" s="194" t="inlineStr">
        <is>
          <t>Niche</t>
        </is>
      </c>
      <c r="C22" s="194" t="inlineStr">
        <is>
          <t>freediving equipment</t>
        </is>
      </c>
      <c r="D22" s="266" t="n">
        <v>90</v>
      </c>
      <c r="E22" s="267" t="inlineStr">
        <is>
          <t>freediving fins</t>
        </is>
      </c>
      <c r="F22" s="266" t="n">
        <v>200</v>
      </c>
      <c r="G22" s="267" t="inlineStr">
        <is>
          <t>carbon freediving fins</t>
        </is>
      </c>
      <c r="H22" s="266" t="inlineStr">
        <is>
          <t>n/a</t>
        </is>
      </c>
      <c r="I22" s="267" t="inlineStr">
        <is>
          <t>freediving wetsuit</t>
        </is>
      </c>
      <c r="J22" s="266" t="inlineStr">
        <is>
          <t>n/a</t>
        </is>
      </c>
      <c r="K22" s="267" t="n">
        <v>290</v>
      </c>
      <c r="L22" s="268" t="n">
        <v>0.16</v>
      </c>
      <c r="M22" s="214" t="n">
        <v>0</v>
      </c>
      <c r="N22" s="194" t="inlineStr">
        <is>
          <t>Ahrefs GB Aug 2026 (partial; n/a = not pulled)</t>
        </is>
      </c>
    </row>
    <row r="23" ht="40" customHeight="1">
      <c r="A23" s="194" t="inlineStr">
        <is>
          <t>Workshop dust extraction</t>
        </is>
      </c>
      <c r="B23" s="194" t="inlineStr">
        <is>
          <t>High</t>
        </is>
      </c>
      <c r="C23" s="194" t="inlineStr">
        <is>
          <t>dust extractor</t>
        </is>
      </c>
      <c r="D23" s="266" t="n">
        <v>6200</v>
      </c>
      <c r="E23" s="267" t="inlineStr">
        <is>
          <t>workshop dust extraction</t>
        </is>
      </c>
      <c r="F23" s="266" t="inlineStr">
        <is>
          <t>n/a</t>
        </is>
      </c>
      <c r="G23" s="267" t="inlineStr">
        <is>
          <t>woodworking dust extractor</t>
        </is>
      </c>
      <c r="H23" s="266" t="inlineStr">
        <is>
          <t>n/a</t>
        </is>
      </c>
      <c r="I23" s="267" t="inlineStr">
        <is>
          <t>dust extraction system</t>
        </is>
      </c>
      <c r="J23" s="266" t="inlineStr">
        <is>
          <t>n/a</t>
        </is>
      </c>
      <c r="K23" s="267" t="n">
        <v>6200</v>
      </c>
      <c r="L23" s="268" t="n">
        <v>0.24</v>
      </c>
      <c r="M23" s="214" t="n">
        <v>0</v>
      </c>
      <c r="N23" s="194" t="inlineStr">
        <is>
          <t>Ahrefs GB Aug 2026 (partial; n/a = not pulled)</t>
        </is>
      </c>
    </row>
    <row r="24" ht="40" customHeight="1">
      <c r="A24" s="194" t="inlineStr">
        <is>
          <t>EVSE installer test kits</t>
        </is>
      </c>
      <c r="B24" s="194" t="inlineStr">
        <is>
          <t>Niche B2B</t>
        </is>
      </c>
      <c r="C24" s="194" t="inlineStr">
        <is>
          <t>EVSE tester</t>
        </is>
      </c>
      <c r="D24" s="266" t="inlineStr">
        <is>
          <t>n/a</t>
        </is>
      </c>
      <c r="E24" s="267" t="inlineStr">
        <is>
          <t>EV charger tester</t>
        </is>
      </c>
      <c r="F24" s="266" t="inlineStr">
        <is>
          <t>n/a</t>
        </is>
      </c>
      <c r="G24" s="267" t="inlineStr">
        <is>
          <t>EV testing equipment</t>
        </is>
      </c>
      <c r="H24" s="266" t="inlineStr">
        <is>
          <t>n/a</t>
        </is>
      </c>
      <c r="I24" s="267" t="inlineStr">
        <is>
          <t>EV charger commissioning kit</t>
        </is>
      </c>
      <c r="J24" s="266" t="inlineStr">
        <is>
          <t>n/a</t>
        </is>
      </c>
      <c r="K24" s="267">
        <f>IF(COUNT(D24,F24,H24,J24)=0,"",SUM(D24,F24,H24,J24))</f>
        <v/>
      </c>
      <c r="L24" s="268" t="n"/>
      <c r="M24" s="214" t="n"/>
      <c r="N24" s="194">
        <f>IF(K24="","Not populated","Loaded")</f>
        <v/>
      </c>
    </row>
    <row r="25" ht="40" customHeight="1">
      <c r="A25" s="194" t="inlineStr">
        <is>
          <t>Home coffee roasting systems</t>
        </is>
      </c>
      <c r="B25" s="194" t="inlineStr">
        <is>
          <t>Niche</t>
        </is>
      </c>
      <c r="C25" s="194" t="inlineStr">
        <is>
          <t>home coffee roaster</t>
        </is>
      </c>
      <c r="D25" s="266" t="n">
        <v>250</v>
      </c>
      <c r="E25" s="267" t="inlineStr">
        <is>
          <t>coffee roasting machine</t>
        </is>
      </c>
      <c r="F25" s="266" t="inlineStr">
        <is>
          <t>n/a</t>
        </is>
      </c>
      <c r="G25" s="267" t="inlineStr">
        <is>
          <t>Aillio Bullet</t>
        </is>
      </c>
      <c r="H25" s="266" t="inlineStr">
        <is>
          <t>n/a</t>
        </is>
      </c>
      <c r="I25" s="267" t="inlineStr">
        <is>
          <t>green coffee beans UK</t>
        </is>
      </c>
      <c r="J25" s="266" t="inlineStr">
        <is>
          <t>n/a</t>
        </is>
      </c>
      <c r="K25" s="267" t="n">
        <v>250</v>
      </c>
      <c r="L25" s="268" t="n">
        <v>0.28</v>
      </c>
      <c r="M25" s="214" t="n">
        <v>5</v>
      </c>
      <c r="N25" s="194" t="inlineStr">
        <is>
          <t>Ahrefs GB Aug 2026 (partial; n/a = not pulled)</t>
        </is>
      </c>
    </row>
    <row r="26" ht="40" customHeight="1">
      <c r="A26" s="194" t="inlineStr">
        <is>
          <t>Metal detecting systems</t>
        </is>
      </c>
      <c r="B26" s="194" t="inlineStr">
        <is>
          <t>High</t>
        </is>
      </c>
      <c r="C26" s="194" t="inlineStr">
        <is>
          <t>metal detector</t>
        </is>
      </c>
      <c r="D26" s="266" t="n">
        <v>14000</v>
      </c>
      <c r="E26" s="267" t="inlineStr">
        <is>
          <t>metal detector UK</t>
        </is>
      </c>
      <c r="F26" s="266" t="inlineStr">
        <is>
          <t>n/a</t>
        </is>
      </c>
      <c r="G26" s="267" t="inlineStr">
        <is>
          <t>Minelab detector</t>
        </is>
      </c>
      <c r="H26" s="266" t="inlineStr">
        <is>
          <t>n/a</t>
        </is>
      </c>
      <c r="I26" s="267" t="inlineStr">
        <is>
          <t>metal detecting accessories</t>
        </is>
      </c>
      <c r="J26" s="266" t="inlineStr">
        <is>
          <t>n/a</t>
        </is>
      </c>
      <c r="K26" s="267" t="n">
        <v>14000</v>
      </c>
      <c r="L26" s="268" t="n">
        <v>0.28</v>
      </c>
      <c r="M26" s="214" t="n">
        <v>34</v>
      </c>
      <c r="N26" s="194" t="inlineStr">
        <is>
          <t>Ahrefs GB Aug 2026 (partial; n/a = not pulled)</t>
        </is>
      </c>
    </row>
    <row r="27" ht="40" customHeight="1">
      <c r="A27" s="194" t="inlineStr">
        <is>
          <t>Beekeeping extraction equipment</t>
        </is>
      </c>
      <c r="B27" s="194" t="inlineStr">
        <is>
          <t>Medium</t>
        </is>
      </c>
      <c r="C27" s="194" t="inlineStr">
        <is>
          <t>honey extractor</t>
        </is>
      </c>
      <c r="D27" s="266" t="n">
        <v>250</v>
      </c>
      <c r="E27" s="267" t="inlineStr">
        <is>
          <t>beekeeping equipment</t>
        </is>
      </c>
      <c r="F27" s="266" t="inlineStr">
        <is>
          <t>n/a</t>
        </is>
      </c>
      <c r="G27" s="267" t="inlineStr">
        <is>
          <t>electric honey extractor</t>
        </is>
      </c>
      <c r="H27" s="266" t="inlineStr">
        <is>
          <t>n/a</t>
        </is>
      </c>
      <c r="I27" s="267" t="inlineStr">
        <is>
          <t>beekeeping starter kit</t>
        </is>
      </c>
      <c r="J27" s="266" t="inlineStr">
        <is>
          <t>n/a</t>
        </is>
      </c>
      <c r="K27" s="267" t="n">
        <v>250</v>
      </c>
      <c r="L27" s="268" t="n">
        <v>0.12</v>
      </c>
      <c r="M27" s="214" t="n">
        <v>0</v>
      </c>
      <c r="N27" s="194" t="inlineStr">
        <is>
          <t>Ahrefs GB Aug 2026 (partial; n/a = not pulled)</t>
        </is>
      </c>
    </row>
    <row r="28" ht="40" customHeight="1">
      <c r="A28" s="194" t="inlineStr">
        <is>
          <t>Robotic pool cleaners</t>
        </is>
      </c>
      <c r="B28" s="194" t="inlineStr">
        <is>
          <t>Medium, seasonal</t>
        </is>
      </c>
      <c r="C28" s="194" t="inlineStr">
        <is>
          <t>robot pool cleaner</t>
        </is>
      </c>
      <c r="D28" s="266" t="n">
        <v>40</v>
      </c>
      <c r="E28" s="267" t="inlineStr">
        <is>
          <t>Dolphin pool cleaner</t>
        </is>
      </c>
      <c r="F28" s="266" t="inlineStr">
        <is>
          <t>n/a</t>
        </is>
      </c>
      <c r="G28" s="267" t="inlineStr">
        <is>
          <t>automatic pool cleaner</t>
        </is>
      </c>
      <c r="H28" s="266" t="inlineStr">
        <is>
          <t>n/a</t>
        </is>
      </c>
      <c r="I28" s="267" t="inlineStr">
        <is>
          <t>cordless pool robot</t>
        </is>
      </c>
      <c r="J28" s="266" t="inlineStr">
        <is>
          <t>n/a</t>
        </is>
      </c>
      <c r="K28" s="267" t="n">
        <v>40</v>
      </c>
      <c r="L28" s="268" t="n">
        <v>0.36</v>
      </c>
      <c r="M28" s="214" t="n">
        <v>0</v>
      </c>
      <c r="N28" s="194" t="inlineStr">
        <is>
          <t>Ahrefs GB Aug 2026 (partial; n/a = not pulled)</t>
        </is>
      </c>
    </row>
    <row r="29" ht="40" customHeight="1">
      <c r="A29" s="194" t="inlineStr">
        <is>
          <t>Ecology &amp; bat-survey equipment</t>
        </is>
      </c>
      <c r="B29" s="194" t="inlineStr">
        <is>
          <t>Niche B2B</t>
        </is>
      </c>
      <c r="C29" s="194" t="inlineStr">
        <is>
          <t>bat detector</t>
        </is>
      </c>
      <c r="D29" s="266" t="n">
        <v>1800</v>
      </c>
      <c r="E29" s="267" t="inlineStr">
        <is>
          <t>bat survey equipment</t>
        </is>
      </c>
      <c r="F29" s="266" t="inlineStr">
        <is>
          <t>n/a</t>
        </is>
      </c>
      <c r="G29" s="267" t="inlineStr">
        <is>
          <t>Wildlife Acoustics detector</t>
        </is>
      </c>
      <c r="H29" s="266" t="inlineStr">
        <is>
          <t>n/a</t>
        </is>
      </c>
      <c r="I29" s="267" t="inlineStr">
        <is>
          <t>ecology survey equipment</t>
        </is>
      </c>
      <c r="J29" s="266" t="inlineStr">
        <is>
          <t>n/a</t>
        </is>
      </c>
      <c r="K29" s="267" t="n">
        <v>1800</v>
      </c>
      <c r="L29" s="268" t="n">
        <v>0.16</v>
      </c>
      <c r="M29" s="214" t="n">
        <v>0</v>
      </c>
      <c r="N29" s="194" t="inlineStr">
        <is>
          <t>Ahrefs GB Aug 2026 (partial; n/a = not pulled)</t>
        </is>
      </c>
    </row>
    <row r="30" ht="40" customHeight="1">
      <c r="A30" s="194" t="inlineStr">
        <is>
          <t>Dog mobility equipment</t>
        </is>
      </c>
      <c r="B30" s="194" t="inlineStr">
        <is>
          <t>High</t>
        </is>
      </c>
      <c r="C30" s="194" t="inlineStr">
        <is>
          <t>dog wheelchair</t>
        </is>
      </c>
      <c r="D30" s="266" t="n">
        <v>1400</v>
      </c>
      <c r="E30" s="267" t="inlineStr">
        <is>
          <t>dog mobility harness</t>
        </is>
      </c>
      <c r="F30" s="266" t="inlineStr">
        <is>
          <t>n/a</t>
        </is>
      </c>
      <c r="G30" s="267" t="inlineStr">
        <is>
          <t>dog ramp</t>
        </is>
      </c>
      <c r="H30" s="266" t="inlineStr">
        <is>
          <t>n/a</t>
        </is>
      </c>
      <c r="I30" s="267" t="inlineStr">
        <is>
          <t>disabled dog equipment</t>
        </is>
      </c>
      <c r="J30" s="266" t="inlineStr">
        <is>
          <t>n/a</t>
        </is>
      </c>
      <c r="K30" s="267" t="n">
        <v>1400</v>
      </c>
      <c r="L30" s="268" t="n">
        <v>0.12</v>
      </c>
      <c r="M30" s="214" t="n">
        <v>5</v>
      </c>
      <c r="N30" s="194" t="inlineStr">
        <is>
          <t>Ahrefs GB Aug 2026 (partial; n/a = not pulled)</t>
        </is>
      </c>
    </row>
    <row r="31" ht="40" customHeight="1">
      <c r="A31" s="194" t="inlineStr">
        <is>
          <t>Home freeze dryers</t>
        </is>
      </c>
      <c r="B31" s="194" t="inlineStr">
        <is>
          <t>Niche</t>
        </is>
      </c>
      <c r="C31" s="194" t="inlineStr">
        <is>
          <t>freeze dryer UK</t>
        </is>
      </c>
      <c r="D31" s="266" t="n">
        <v>700</v>
      </c>
      <c r="E31" s="267" t="inlineStr">
        <is>
          <t>home freeze dryer</t>
        </is>
      </c>
      <c r="F31" s="266" t="inlineStr">
        <is>
          <t>n/a</t>
        </is>
      </c>
      <c r="G31" s="267" t="inlineStr">
        <is>
          <t>Harvest Right freeze dryer</t>
        </is>
      </c>
      <c r="H31" s="266" t="inlineStr">
        <is>
          <t>n/a</t>
        </is>
      </c>
      <c r="I31" s="267" t="inlineStr">
        <is>
          <t>food freeze dryer</t>
        </is>
      </c>
      <c r="J31" s="266" t="inlineStr">
        <is>
          <t>n/a</t>
        </is>
      </c>
      <c r="K31" s="267" t="n">
        <v>700</v>
      </c>
      <c r="L31" s="268" t="n">
        <v>0.16</v>
      </c>
      <c r="M31" s="214" t="n">
        <v>0</v>
      </c>
      <c r="N31" s="194" t="inlineStr">
        <is>
          <t>Ahrefs GB Aug 2026 (partial; n/a = not pulled)</t>
        </is>
      </c>
    </row>
  </sheetData>
  <mergeCells count="3">
    <mergeCell ref="A4:N4"/>
    <mergeCell ref="A2:N2"/>
    <mergeCell ref="A1:N1"/>
  </mergeCells>
  <dataValidations count="6">
    <dataValidation sqref="D7:D31" showDropDown="0" showInputMessage="0" showErrorMessage="0" allowBlank="0" type="whole" operator="between">
      <formula1>0</formula1>
      <formula2>10000000</formula2>
    </dataValidation>
    <dataValidation sqref="F7:F31" showDropDown="0" showInputMessage="0" showErrorMessage="0" allowBlank="0" type="whole" operator="between">
      <formula1>0</formula1>
      <formula2>10000000</formula2>
    </dataValidation>
    <dataValidation sqref="H7:H31" showDropDown="0" showInputMessage="0" showErrorMessage="0" allowBlank="0" type="whole" operator="between">
      <formula1>0</formula1>
      <formula2>10000000</formula2>
    </dataValidation>
    <dataValidation sqref="J7:J31" showDropDown="0" showInputMessage="0" showErrorMessage="0" allowBlank="0" type="whole" operator="between">
      <formula1>0</formula1>
      <formula2>10000000</formula2>
    </dataValidation>
    <dataValidation sqref="L7:L31" showDropDown="0" showInputMessage="0" showErrorMessage="0" allowBlank="0" type="decimal" operator="between">
      <formula1>0</formula1>
      <formula2>1000</formula2>
    </dataValidation>
    <dataValidation sqref="M7:M31" showDropDown="0" showInputMessage="0" showErrorMessage="0" allowBlank="0" type="whole" operator="between">
      <formula1>0</formula1>
      <formula2>100</formula2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3" customWidth="1" min="3" max="3"/>
    <col width="17" customWidth="1" min="4" max="4"/>
    <col width="14" customWidth="1" min="5" max="5"/>
    <col width="19" customWidth="1" min="6" max="6"/>
    <col width="11" customWidth="1" min="7" max="7"/>
    <col width="15" customWidth="1" min="8" max="8"/>
    <col width="15" customWidth="1" min="9" max="9"/>
    <col width="42" customWidth="1" min="10" max="10"/>
  </cols>
  <sheetData>
    <row r="1" ht="32" customHeight="1">
      <c r="A1" s="197" t="inlineStr">
        <is>
          <t>Unit Economics</t>
        </is>
      </c>
    </row>
    <row r="2" ht="30" customHeight="1">
      <c r="A2" s="198" t="inlineStr">
        <is>
          <t>Editable launch hypotheses—not observed supplier quotes. Yellow inputs must be replaced with real landed costs and CAC tests.</t>
        </is>
      </c>
    </row>
    <row r="3">
      <c r="A3" s="170" t="n"/>
      <c r="B3" s="170" t="n"/>
      <c r="C3" s="170" t="n"/>
      <c r="D3" s="170" t="n"/>
      <c r="E3" s="170" t="n"/>
      <c r="F3" s="170" t="n"/>
      <c r="G3" s="170" t="n"/>
      <c r="H3" s="170" t="n"/>
      <c r="I3" s="170" t="n"/>
      <c r="J3" s="170" t="n"/>
    </row>
    <row r="4">
      <c r="A4" s="199" t="inlineStr">
        <is>
          <t>Contribution = AOV × gross margin − outbound freight − payment fees − return/defect reserve − CAC. It excludes salaries, storage and installation labour; use it as a first commercial filter only.</t>
        </is>
      </c>
    </row>
    <row r="5">
      <c r="A5" s="170" t="n"/>
      <c r="B5" s="170" t="n"/>
      <c r="C5" s="170" t="n"/>
      <c r="D5" s="170" t="n"/>
      <c r="E5" s="170" t="n"/>
      <c r="F5" s="170" t="n"/>
      <c r="G5" s="170" t="n"/>
      <c r="H5" s="170" t="n"/>
      <c r="I5" s="170" t="n"/>
      <c r="J5" s="170" t="n"/>
    </row>
    <row r="6">
      <c r="A6" s="234" t="inlineStr">
        <is>
          <t>Opportunity</t>
        </is>
      </c>
      <c r="B6" s="234" t="inlineStr">
        <is>
          <t>AOV £</t>
        </is>
      </c>
      <c r="C6" s="234" t="inlineStr">
        <is>
          <t>Target GM %</t>
        </is>
      </c>
      <c r="D6" s="234" t="inlineStr">
        <is>
          <t>Outbound freight £</t>
        </is>
      </c>
      <c r="E6" s="234" t="inlineStr">
        <is>
          <t>Payment fee %</t>
        </is>
      </c>
      <c r="F6" s="234" t="inlineStr">
        <is>
          <t>Return/defect reserve %</t>
        </is>
      </c>
      <c r="G6" s="234" t="inlineStr">
        <is>
          <t>CAC £</t>
        </is>
      </c>
      <c r="H6" s="234" t="inlineStr">
        <is>
          <t>Contribution £</t>
        </is>
      </c>
      <c r="I6" s="234" t="inlineStr">
        <is>
          <t>Contribution %</t>
        </is>
      </c>
      <c r="J6" s="234" t="inlineStr">
        <is>
          <t>Model note</t>
        </is>
      </c>
    </row>
    <row r="7">
      <c r="A7" s="194" t="inlineStr">
        <is>
          <t>Rainwater &amp; drought-resilience systems</t>
        </is>
      </c>
      <c r="B7" s="269" t="n">
        <v>3500</v>
      </c>
      <c r="C7" s="270" t="n">
        <v>0.32</v>
      </c>
      <c r="D7" s="269" t="n">
        <v>180</v>
      </c>
      <c r="E7" s="270" t="n">
        <v>0.018</v>
      </c>
      <c r="F7" s="270" t="n">
        <v>0.01</v>
      </c>
      <c r="G7" s="269" t="n">
        <v>220</v>
      </c>
      <c r="H7" s="271">
        <f>ROUND(B7*C7-D7-B7*E7-B7*F7-G7,0)</f>
        <v/>
      </c>
      <c r="I7" s="272">
        <f>H7/B7</f>
        <v/>
      </c>
      <c r="J7" s="194" t="inlineStr">
        <is>
          <t>Dropship / installer-partner hypothesis</t>
        </is>
      </c>
    </row>
    <row r="8">
      <c r="A8" s="194" t="inlineStr">
        <is>
          <t>Performance acoustic room kits</t>
        </is>
      </c>
      <c r="B8" s="269" t="n">
        <v>950</v>
      </c>
      <c r="C8" s="270" t="n">
        <v>0.5</v>
      </c>
      <c r="D8" s="269" t="n">
        <v>55</v>
      </c>
      <c r="E8" s="270" t="n">
        <v>0.018</v>
      </c>
      <c r="F8" s="270" t="n">
        <v>0.03</v>
      </c>
      <c r="G8" s="269" t="n">
        <v>80</v>
      </c>
      <c r="H8" s="271">
        <f>ROUND(B8*C8-D8-B8*E8-B8*F8-G8,0)</f>
        <v/>
      </c>
      <c r="I8" s="272">
        <f>H8/B8</f>
        <v/>
      </c>
      <c r="J8" s="194" t="inlineStr">
        <is>
          <t>Owned/contract-made range hypothesis</t>
        </is>
      </c>
    </row>
    <row r="9">
      <c r="A9" s="194" t="inlineStr">
        <is>
          <t>Sensory-room packages</t>
        </is>
      </c>
      <c r="B9" s="269" t="n">
        <v>6000</v>
      </c>
      <c r="C9" s="270" t="n">
        <v>0.35</v>
      </c>
      <c r="D9" s="269" t="n">
        <v>550</v>
      </c>
      <c r="E9" s="270" t="n">
        <v>0.006</v>
      </c>
      <c r="F9" s="270" t="n">
        <v>0.01</v>
      </c>
      <c r="G9" s="269" t="n">
        <v>500</v>
      </c>
      <c r="H9" s="271">
        <f>ROUND(B9*C9-D9-B9*E9-B9*F9-G9,0)</f>
        <v/>
      </c>
      <c r="I9" s="272">
        <f>H9/B9</f>
        <v/>
      </c>
      <c r="J9" s="194" t="inlineStr">
        <is>
          <t>Invoice-led institutional sale</t>
        </is>
      </c>
    </row>
    <row r="10">
      <c r="A10" s="194" t="inlineStr">
        <is>
          <t>Separating &amp; composting toilet systems</t>
        </is>
      </c>
      <c r="B10" s="269" t="n">
        <v>650</v>
      </c>
      <c r="C10" s="270" t="n">
        <v>0.38</v>
      </c>
      <c r="D10" s="269" t="n">
        <v>25</v>
      </c>
      <c r="E10" s="270" t="n">
        <v>0.018</v>
      </c>
      <c r="F10" s="270" t="n">
        <v>0.03</v>
      </c>
      <c r="G10" s="269" t="n">
        <v>65</v>
      </c>
      <c r="H10" s="271">
        <f>ROUND(B10*C10-D10-B10*E10-B10*F10-G10,0)</f>
        <v/>
      </c>
      <c r="I10" s="272">
        <f>H10/B10</f>
        <v/>
      </c>
      <c r="J10" s="194" t="inlineStr">
        <is>
          <t>Kit + consumables hypothesis</t>
        </is>
      </c>
    </row>
    <row r="11">
      <c r="A11" s="194" t="inlineStr">
        <is>
          <t>Pond-health &amp; filtration systems</t>
        </is>
      </c>
      <c r="B11" s="269" t="n">
        <v>1100</v>
      </c>
      <c r="C11" s="270" t="n">
        <v>0.35</v>
      </c>
      <c r="D11" s="269" t="n">
        <v>45</v>
      </c>
      <c r="E11" s="270" t="n">
        <v>0.018</v>
      </c>
      <c r="F11" s="270" t="n">
        <v>0.03</v>
      </c>
      <c r="G11" s="269" t="n">
        <v>100</v>
      </c>
      <c r="H11" s="271">
        <f>ROUND(B11*C11-D11-B11*E11-B11*F11-G11,0)</f>
        <v/>
      </c>
      <c r="I11" s="272">
        <f>H11/B11</f>
        <v/>
      </c>
      <c r="J11" s="194" t="inlineStr">
        <is>
          <t>High-end filter bundle</t>
        </is>
      </c>
    </row>
    <row r="12">
      <c r="A12" s="194" t="inlineStr">
        <is>
          <t>Building diagnostic kits</t>
        </is>
      </c>
      <c r="B12" s="269" t="n">
        <v>1800</v>
      </c>
      <c r="C12" s="270" t="n">
        <v>0.28</v>
      </c>
      <c r="D12" s="269" t="n">
        <v>15</v>
      </c>
      <c r="E12" s="270" t="n">
        <v>0.018</v>
      </c>
      <c r="F12" s="270" t="n">
        <v>0.02</v>
      </c>
      <c r="G12" s="269" t="n">
        <v>140</v>
      </c>
      <c r="H12" s="271">
        <f>ROUND(B12*C12-D12-B12*E12-B12*F12-G12,0)</f>
        <v/>
      </c>
      <c r="I12" s="272">
        <f>H12/B12</f>
        <v/>
      </c>
      <c r="J12" s="194" t="inlineStr">
        <is>
          <t>Authorised dealer + own bundle</t>
        </is>
      </c>
    </row>
    <row r="13">
      <c r="A13" s="194" t="inlineStr">
        <is>
          <t>Premium freediving equipment</t>
        </is>
      </c>
      <c r="B13" s="269" t="n">
        <v>450</v>
      </c>
      <c r="C13" s="270" t="n">
        <v>0.35</v>
      </c>
      <c r="D13" s="269" t="n">
        <v>10</v>
      </c>
      <c r="E13" s="270" t="n">
        <v>0.018</v>
      </c>
      <c r="F13" s="270" t="n">
        <v>0.07000000000000001</v>
      </c>
      <c r="G13" s="269" t="n">
        <v>50</v>
      </c>
      <c r="H13" s="271">
        <f>ROUND(B13*C13-D13-B13*E13-B13*F13-G13,0)</f>
        <v/>
      </c>
      <c r="I13" s="272">
        <f>H13/B13</f>
        <v/>
      </c>
      <c r="J13" s="194" t="inlineStr">
        <is>
          <t>Shows fragility without protected margin</t>
        </is>
      </c>
    </row>
    <row r="14">
      <c r="A14" s="170" t="n"/>
      <c r="B14" s="170" t="n"/>
      <c r="C14" s="170" t="n"/>
      <c r="D14" s="170" t="n"/>
      <c r="E14" s="170" t="n"/>
      <c r="F14" s="170" t="n"/>
      <c r="G14" s="170" t="n"/>
      <c r="H14" s="170" t="n"/>
      <c r="I14" s="170" t="n"/>
      <c r="J14" s="170" t="n"/>
    </row>
    <row r="15">
      <c r="A15" s="170" t="n"/>
      <c r="B15" s="170" t="n"/>
      <c r="C15" s="170" t="n"/>
      <c r="D15" s="170" t="n"/>
      <c r="E15" s="170" t="n"/>
      <c r="F15" s="170" t="n"/>
      <c r="G15" s="170" t="n"/>
      <c r="H15" s="170" t="n"/>
      <c r="I15" s="170" t="n"/>
      <c r="J15" s="170" t="n"/>
    </row>
    <row r="16">
      <c r="A16" s="170" t="n"/>
      <c r="B16" s="170" t="n"/>
      <c r="C16" s="170" t="n"/>
      <c r="D16" s="170" t="n"/>
      <c r="E16" s="170" t="n"/>
      <c r="F16" s="170" t="n"/>
      <c r="G16" s="170" t="n"/>
      <c r="H16" s="170" t="n"/>
      <c r="I16" s="170" t="n"/>
      <c r="J16" s="170" t="n"/>
    </row>
    <row r="17" ht="24" customHeight="1">
      <c r="A17" s="171" t="inlineStr">
        <is>
          <t>Commercial go/no-go thresholds</t>
        </is>
      </c>
    </row>
    <row r="18" ht="32" customHeight="1">
      <c r="A18" s="194" t="inlineStr">
        <is>
          <t>Landed gross margin</t>
        </is>
      </c>
      <c r="B18" s="194" t="inlineStr">
        <is>
          <t>≥35%</t>
        </is>
      </c>
      <c r="C18" s="194" t="inlineStr">
        <is>
          <t>Lower only for invoiced/high-AOV B2B with proven low acquisition and service cost</t>
        </is>
      </c>
      <c r="D18" s="252" t="n"/>
      <c r="E18" s="252" t="n"/>
      <c r="F18" s="252" t="n"/>
      <c r="G18" s="252" t="n"/>
      <c r="H18" s="252" t="n"/>
      <c r="I18" s="252" t="n"/>
      <c r="J18" s="251" t="n"/>
    </row>
    <row r="19" ht="32" customHeight="1">
      <c r="A19" s="194" t="inlineStr">
        <is>
          <t>Contribution after CAC</t>
        </is>
      </c>
      <c r="B19" s="194" t="inlineStr">
        <is>
          <t>≥15% of revenue</t>
        </is>
      </c>
      <c r="C19" s="194" t="inlineStr">
        <is>
          <t>And ≥£150/order for advice-heavy products</t>
        </is>
      </c>
      <c r="D19" s="252" t="n"/>
      <c r="E19" s="252" t="n"/>
      <c r="F19" s="252" t="n"/>
      <c r="G19" s="252" t="n"/>
      <c r="H19" s="252" t="n"/>
      <c r="I19" s="252" t="n"/>
      <c r="J19" s="251" t="n"/>
    </row>
    <row r="20" ht="32" customHeight="1">
      <c r="A20" s="194" t="inlineStr">
        <is>
          <t>Protected revenue</t>
        </is>
      </c>
      <c r="B20" s="194" t="inlineStr">
        <is>
          <t>≥60%</t>
        </is>
      </c>
      <c r="C20" s="194" t="inlineStr">
        <is>
          <t>Share of forecast sales from exclusive, private-label, unique-bundle or registered-lead products</t>
        </is>
      </c>
      <c r="D20" s="252" t="n"/>
      <c r="E20" s="252" t="n"/>
      <c r="F20" s="252" t="n"/>
      <c r="G20" s="252" t="n"/>
      <c r="H20" s="252" t="n"/>
      <c r="I20" s="252" t="n"/>
      <c r="J20" s="251" t="n"/>
    </row>
    <row r="21" ht="32" customHeight="1">
      <c r="A21" s="194" t="inlineStr">
        <is>
          <t>Single supplier exposure</t>
        </is>
      </c>
      <c r="B21" s="194" t="inlineStr">
        <is>
          <t>≤50% by month 12</t>
        </is>
      </c>
      <c r="C21" s="194" t="inlineStr">
        <is>
          <t>Or explicit exclusivity/price protection plus viable exit stock terms</t>
        </is>
      </c>
      <c r="D21" s="252" t="n"/>
      <c r="E21" s="252" t="n"/>
      <c r="F21" s="252" t="n"/>
      <c r="G21" s="252" t="n"/>
      <c r="H21" s="252" t="n"/>
      <c r="I21" s="252" t="n"/>
      <c r="J21" s="251" t="n"/>
    </row>
    <row r="22" ht="32" customHeight="1">
      <c r="A22" s="194" t="inlineStr">
        <is>
          <t>Price notice</t>
        </is>
      </c>
      <c r="B22" s="194" t="inlineStr">
        <is>
          <t>≥90 days</t>
        </is>
      </c>
      <c r="C22" s="194" t="inlineStr">
        <is>
          <t>Existing quotes and owned inventory protected</t>
        </is>
      </c>
      <c r="D22" s="252" t="n"/>
      <c r="E22" s="252" t="n"/>
      <c r="F22" s="252" t="n"/>
      <c r="G22" s="252" t="n"/>
      <c r="H22" s="252" t="n"/>
      <c r="I22" s="252" t="n"/>
      <c r="J22" s="251" t="n"/>
    </row>
  </sheetData>
  <mergeCells count="9">
    <mergeCell ref="A1:J1"/>
    <mergeCell ref="C21:J21"/>
    <mergeCell ref="C20:J20"/>
    <mergeCell ref="A17:J17"/>
    <mergeCell ref="A4:J4"/>
    <mergeCell ref="C19:J19"/>
    <mergeCell ref="A2:J2"/>
    <mergeCell ref="C22:J22"/>
    <mergeCell ref="C18:J18"/>
  </mergeCells>
  <conditionalFormatting sqref="I7:I13">
    <cfRule type="cellIs" priority="1" operator="greaterThanOrEqual" dxfId="1">
      <formula>0.15</formula>
    </cfRule>
    <cfRule type="cellIs" priority="2" operator="lessThan" dxfId="0">
      <formula>0.15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43" customWidth="1" min="3" max="3"/>
    <col width="43" customWidth="1" min="4" max="4"/>
    <col width="37" customWidth="1" min="5" max="5"/>
    <col width="40" customWidth="1" min="6" max="6"/>
    <col width="16" customWidth="1" min="7" max="7"/>
    <col width="16" customWidth="1" min="8" max="8"/>
  </cols>
  <sheetData>
    <row r="1" ht="32" customHeight="1">
      <c r="A1" s="197" t="inlineStr">
        <is>
          <t>90-Day Validation</t>
        </is>
      </c>
    </row>
    <row r="2" ht="30" customHeight="1">
      <c r="A2" s="198" t="inlineStr">
        <is>
          <t>Spend follows evidence: supplier terms → customer proof → landing-page economics → inventory</t>
        </is>
      </c>
    </row>
    <row r="3">
      <c r="A3" s="170" t="n"/>
      <c r="B3" s="170" t="n"/>
      <c r="C3" s="170" t="n"/>
      <c r="D3" s="170" t="n"/>
      <c r="E3" s="170" t="n"/>
      <c r="F3" s="170" t="n"/>
      <c r="G3" s="170" t="n"/>
      <c r="H3" s="170" t="n"/>
    </row>
    <row r="4">
      <c r="A4" s="234" t="inlineStr">
        <is>
          <t>Phase</t>
        </is>
      </c>
      <c r="B4" s="234" t="inlineStr">
        <is>
          <t>Timing</t>
        </is>
      </c>
      <c r="C4" s="234" t="inlineStr">
        <is>
          <t>Rainwater lane</t>
        </is>
      </c>
      <c r="D4" s="234" t="inlineStr">
        <is>
          <t>Acoustic lane</t>
        </is>
      </c>
      <c r="E4" s="234" t="inlineStr">
        <is>
          <t>Freediving option</t>
        </is>
      </c>
      <c r="F4" s="234" t="inlineStr">
        <is>
          <t>Exit criterion</t>
        </is>
      </c>
      <c r="G4" s="234" t="inlineStr">
        <is>
          <t>Owner</t>
        </is>
      </c>
      <c r="H4" s="234" t="inlineStr">
        <is>
          <t>Status</t>
        </is>
      </c>
    </row>
    <row r="5" ht="92" customHeight="1">
      <c r="A5" s="194" t="inlineStr">
        <is>
          <t>1. Supplier reality</t>
        </is>
      </c>
      <c r="B5" s="194" t="inlineStr">
        <is>
          <t>Days 1–14</t>
        </is>
      </c>
      <c r="C5" s="194" t="inlineStr">
        <is>
          <t>8 maker/distributor calls; collect terms, BOM, freight, certifications and install support</t>
        </is>
      </c>
      <c r="D5" s="194" t="inlineStr">
        <is>
          <t>3 UK contract-maker quotes; define owned construction, performance/fire evidence and freight</t>
        </is>
      </c>
      <c r="E5" s="194" t="inlineStr">
        <is>
          <t>8 premium-brand calls; exclusivity/parity only</t>
        </is>
      </c>
      <c r="F5" s="194" t="inlineStr">
        <is>
          <t>At least one supplier scores PASS and a second is plausible</t>
        </is>
      </c>
      <c r="G5" s="214" t="str"/>
      <c r="H5" s="214" t="inlineStr">
        <is>
          <t>Not started</t>
        </is>
      </c>
    </row>
    <row r="6" ht="92" customHeight="1">
      <c r="A6" s="194" t="inlineStr">
        <is>
          <t>2. Buyer language</t>
        </is>
      </c>
      <c r="B6" s="194" t="inlineStr">
        <is>
          <t>Days 8–24</t>
        </is>
      </c>
      <c r="C6" s="194" t="inlineStr">
        <is>
          <t>15 homeowners/rural/SME + 5 installers; map triggers, sizing and objections</t>
        </is>
      </c>
      <c r="D6" s="194" t="inlineStr">
        <is>
          <t>15 creators/studios/offices; map room, appearance, result and budget</t>
        </is>
      </c>
      <c r="E6" s="194" t="inlineStr">
        <is>
          <t>10 instructors/clubs + 20 committed divers</t>
        </is>
      </c>
      <c r="F6" s="194" t="inlineStr">
        <is>
          <t>≥60% report a painful, current problem and credible spend</t>
        </is>
      </c>
      <c r="G6" s="214" t="str"/>
      <c r="H6" s="214" t="inlineStr">
        <is>
          <t>Not started</t>
        </is>
      </c>
    </row>
    <row r="7" ht="92" customHeight="1">
      <c r="A7" s="194" t="inlineStr">
        <is>
          <t>3. Offer prototype</t>
        </is>
      </c>
      <c r="B7" s="194" t="inlineStr">
        <is>
          <t>Days 20–38</t>
        </is>
      </c>
      <c r="C7" s="194" t="inlineStr">
        <is>
          <t>Sizing calculator + 3 packages + installer handoff</t>
        </is>
      </c>
      <c r="D7" s="194" t="inlineStr">
        <is>
          <t>Remote room-plan flow + 3 use-case kits + samples</t>
        </is>
      </c>
      <c r="E7" s="194" t="inlineStr">
        <is>
          <t>Fit/demo page only if supplier PASS</t>
        </is>
      </c>
      <c r="F7" s="194" t="inlineStr">
        <is>
          <t>10 qualified quote/plan requests per lane</t>
        </is>
      </c>
      <c r="G7" s="214" t="str"/>
      <c r="H7" s="214" t="inlineStr">
        <is>
          <t>Not started</t>
        </is>
      </c>
    </row>
    <row r="8" ht="92" customHeight="1">
      <c r="A8" s="194" t="inlineStr">
        <is>
          <t>4. Acquisition test</t>
        </is>
      </c>
      <c r="B8" s="194" t="inlineStr">
        <is>
          <t>Days 35–65</t>
        </is>
      </c>
      <c r="C8" s="194" t="inlineStr">
        <is>
          <t>Search/content + £1.5k–£3k controlled media</t>
        </is>
      </c>
      <c r="D8" s="194" t="inlineStr">
        <is>
          <t>Search/content + £1.5k–£3k controlled media</t>
        </is>
      </c>
      <c r="E8" s="194" t="inlineStr">
        <is>
          <t>Club referrals; minimal paid spend</t>
        </is>
      </c>
      <c r="F8" s="194" t="inlineStr">
        <is>
          <t>Qualified-lead economics imply ≥15% contribution at target close rate</t>
        </is>
      </c>
      <c r="G8" s="214" t="str"/>
      <c r="H8" s="214" t="inlineStr">
        <is>
          <t>Not started</t>
        </is>
      </c>
    </row>
    <row r="9" ht="92" customHeight="1">
      <c r="A9" s="194" t="inlineStr">
        <is>
          <t>5. Supply pilot</t>
        </is>
      </c>
      <c r="B9" s="194" t="inlineStr">
        <is>
          <t>Days 55–80</t>
        </is>
      </c>
      <c r="C9" s="194" t="inlineStr">
        <is>
          <t>5–10 fulfilled/dropshipped or assisted installs</t>
        </is>
      </c>
      <c r="D9" s="194" t="inlineStr">
        <is>
          <t>10–20 contract-made/low-MOQ kits</t>
        </is>
      </c>
      <c r="E9" s="194" t="inlineStr">
        <is>
          <t>5 fitting/deposit intents; no stock before terms</t>
        </is>
      </c>
      <c r="F9" s="194" t="inlineStr">
        <is>
          <t>Delivery, damage, return and support burden fit model</t>
        </is>
      </c>
      <c r="G9" s="214" t="str"/>
      <c r="H9" s="214" t="inlineStr">
        <is>
          <t>Not started</t>
        </is>
      </c>
    </row>
    <row r="10" ht="92" customHeight="1">
      <c r="A10" s="194" t="inlineStr">
        <is>
          <t>6. Investment decision</t>
        </is>
      </c>
      <c r="B10" s="194" t="inlineStr">
        <is>
          <t>Days 81–90</t>
        </is>
      </c>
      <c r="C10" s="194" t="inlineStr">
        <is>
          <t>Choose supplier/BOM, working capital and launch geography</t>
        </is>
      </c>
      <c r="D10" s="194" t="inlineStr">
        <is>
          <t>Choose owned range, MOQ and content plan</t>
        </is>
      </c>
      <c r="E10" s="194" t="inlineStr">
        <is>
          <t>Proceed/park</t>
        </is>
      </c>
      <c r="F10" s="194" t="inlineStr">
        <is>
          <t>All hard gates pass; economics and service are reproducible</t>
        </is>
      </c>
      <c r="G10" s="214" t="str"/>
      <c r="H10" s="214" t="inlineStr">
        <is>
          <t>Not started</t>
        </is>
      </c>
    </row>
    <row r="11">
      <c r="A11" s="170" t="n"/>
      <c r="B11" s="170" t="n"/>
      <c r="C11" s="170" t="n"/>
      <c r="D11" s="170" t="n"/>
      <c r="E11" s="170" t="n"/>
      <c r="F11" s="170" t="n"/>
      <c r="G11" s="170" t="n"/>
      <c r="H11" s="170" t="n"/>
    </row>
    <row r="12" ht="24" customHeight="1">
      <c r="A12" s="181" t="inlineStr">
        <is>
          <t>Decision checkpoints</t>
        </is>
      </c>
    </row>
    <row r="13">
      <c r="A13" s="194" t="inlineStr">
        <is>
          <t>Day 14</t>
        </is>
      </c>
      <c r="B13" s="194" t="inlineStr">
        <is>
          <t>No supplier PASS</t>
        </is>
      </c>
      <c r="C13" s="194" t="inlineStr">
        <is>
          <t>Stop the lane; do not compensate with a prettier website.</t>
        </is>
      </c>
      <c r="D13" s="170" t="n"/>
      <c r="E13" s="170" t="n"/>
      <c r="F13" s="170" t="n"/>
      <c r="G13" s="170" t="n"/>
      <c r="H13" s="170" t="n"/>
    </row>
    <row r="14">
      <c r="A14" s="194" t="inlineStr">
        <is>
          <t>Day 38</t>
        </is>
      </c>
      <c r="B14" s="194" t="inlineStr">
        <is>
          <t>Weak buyer proof</t>
        </is>
      </c>
      <c r="C14" s="194" t="inlineStr">
        <is>
          <t>Reframe the use case once; then park if demand remains vague.</t>
        </is>
      </c>
      <c r="D14" s="170" t="n"/>
      <c r="E14" s="170" t="n"/>
      <c r="F14" s="170" t="n"/>
      <c r="G14" s="170" t="n"/>
      <c r="H14" s="170" t="n"/>
    </row>
    <row r="15">
      <c r="A15" s="194" t="inlineStr">
        <is>
          <t>Day 65</t>
        </is>
      </c>
      <c r="B15" s="194" t="inlineStr">
        <is>
          <t>Contribution &lt;15%</t>
        </is>
      </c>
      <c r="C15" s="194" t="inlineStr">
        <is>
          <t>Raise AOV/margin, reduce service/CAC, or stop.</t>
        </is>
      </c>
      <c r="D15" s="170" t="n"/>
      <c r="E15" s="170" t="n"/>
      <c r="F15" s="170" t="n"/>
      <c r="G15" s="170" t="n"/>
      <c r="H15" s="170" t="n"/>
    </row>
    <row r="16">
      <c r="A16" s="194" t="inlineStr">
        <is>
          <t>Day 80</t>
        </is>
      </c>
      <c r="B16" s="194" t="inlineStr">
        <is>
          <t>Supplier terms changed</t>
        </is>
      </c>
      <c r="C16" s="194" t="inlineStr">
        <is>
          <t>Re-score from zero; the relationship is the product.</t>
        </is>
      </c>
      <c r="D16" s="170" t="n"/>
      <c r="E16" s="170" t="n"/>
      <c r="F16" s="170" t="n"/>
      <c r="G16" s="170" t="n"/>
      <c r="H16" s="170" t="n"/>
    </row>
    <row r="17">
      <c r="A17" s="194" t="inlineStr">
        <is>
          <t>Day 90</t>
        </is>
      </c>
      <c r="B17" s="194" t="inlineStr">
        <is>
          <t>One lane passes all gates</t>
        </is>
      </c>
      <c r="C17" s="194" t="inlineStr">
        <is>
          <t>Commit inventory and a 6-month content/acquisition roadmap only then.</t>
        </is>
      </c>
      <c r="D17" s="170" t="n"/>
      <c r="E17" s="170" t="n"/>
      <c r="F17" s="170" t="n"/>
      <c r="G17" s="170" t="n"/>
      <c r="H17" s="170" t="n"/>
    </row>
  </sheetData>
  <mergeCells count="3">
    <mergeCell ref="A12:H12"/>
    <mergeCell ref="A2:H2"/>
    <mergeCell ref="A1:H1"/>
  </mergeCells>
  <dataValidations count="1">
    <dataValidation sqref="H5:H10" showDropDown="0" showInputMessage="0" showErrorMessage="0" allowBlank="0" type="list">
      <formula1>"Not started,In progress,Complete,Blocked"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5" customWidth="1" min="3" max="3"/>
    <col width="22" customWidth="1" min="4" max="4"/>
    <col width="64" customWidth="1" min="5" max="5"/>
    <col width="12" customWidth="1" min="6" max="6"/>
    <col width="13" customWidth="1" min="7" max="7"/>
    <col width="75" customWidth="1" min="8" max="8"/>
  </cols>
  <sheetData>
    <row r="1" ht="32" customHeight="1">
      <c r="A1" s="197" t="inlineStr">
        <is>
          <t>Sources</t>
        </is>
      </c>
    </row>
    <row r="2" ht="30" customHeight="1">
      <c r="A2" s="198" t="inlineStr">
        <is>
          <t>Public web research reviewed 6 August 2026 • source type and confidence are shown to avoid false precision</t>
        </is>
      </c>
    </row>
    <row r="3">
      <c r="A3" s="170" t="n"/>
      <c r="B3" s="170" t="n"/>
      <c r="C3" s="170" t="n"/>
      <c r="D3" s="170" t="n"/>
      <c r="E3" s="170" t="n"/>
      <c r="F3" s="170" t="n"/>
      <c r="G3" s="170" t="n"/>
      <c r="H3" s="170" t="n"/>
    </row>
    <row r="4">
      <c r="A4" s="234" t="inlineStr">
        <is>
          <t>ID</t>
        </is>
      </c>
      <c r="B4" s="234" t="inlineStr">
        <is>
          <t>Theme</t>
        </is>
      </c>
      <c r="C4" s="234" t="inlineStr">
        <is>
          <t>Source</t>
        </is>
      </c>
      <c r="D4" s="234" t="inlineStr">
        <is>
          <t>Source type</t>
        </is>
      </c>
      <c r="E4" s="234" t="inlineStr">
        <is>
          <t>Evidence used</t>
        </is>
      </c>
      <c r="F4" s="234" t="inlineStr">
        <is>
          <t>Confidence</t>
        </is>
      </c>
      <c r="G4" s="234" t="inlineStr">
        <is>
          <t>Accessed</t>
        </is>
      </c>
      <c r="H4" s="234" t="inlineStr">
        <is>
          <t>URL</t>
        </is>
      </c>
    </row>
    <row r="5" ht="56" customHeight="1">
      <c r="A5" s="194" t="inlineStr">
        <is>
          <t>S01</t>
        </is>
      </c>
      <c r="B5" s="194" t="inlineStr">
        <is>
          <t>Freediving</t>
        </is>
      </c>
      <c r="C5" s="194" t="inlineStr">
        <is>
          <t>Diveinn</t>
        </is>
      </c>
      <c r="D5" s="194" t="inlineStr">
        <is>
          <t>Retailer/help</t>
        </is>
      </c>
      <c r="E5" s="194" t="inlineStr">
        <is>
          <t>UK prices shown are final; VAT and duties included, weakening import-friction as a moat.</t>
        </is>
      </c>
      <c r="F5" s="194" t="inlineStr">
        <is>
          <t>High</t>
        </is>
      </c>
      <c r="G5" s="273" t="n">
        <v>46240</v>
      </c>
      <c r="H5" s="194" t="inlineStr">
        <is>
          <t>https://www.tradeinn.com/diveinn/en/help/st</t>
        </is>
      </c>
    </row>
    <row r="6" ht="56" customHeight="1">
      <c r="A6" s="194" t="inlineStr">
        <is>
          <t>S02</t>
        </is>
      </c>
      <c r="B6" s="194" t="inlineStr">
        <is>
          <t>Freediving</t>
        </is>
      </c>
      <c r="C6" s="194" t="inlineStr">
        <is>
          <t>British Freediving Association</t>
        </is>
      </c>
      <c r="D6" s="194" t="inlineStr">
        <is>
          <t>Governing body</t>
        </is>
      </c>
      <c r="E6" s="194" t="inlineStr">
        <is>
          <t>UK governing body and affiliated-club network; membership and active community evidence.</t>
        </is>
      </c>
      <c r="F6" s="194" t="inlineStr">
        <is>
          <t>High</t>
        </is>
      </c>
      <c r="G6" s="273" t="n">
        <v>46240</v>
      </c>
      <c r="H6" s="194" t="inlineStr">
        <is>
          <t>https://britishfreediving.org/</t>
        </is>
      </c>
    </row>
    <row r="7" ht="56" customHeight="1">
      <c r="A7" s="194" t="inlineStr">
        <is>
          <t>S03</t>
        </is>
      </c>
      <c r="B7" s="194" t="inlineStr">
        <is>
          <t>Freediving</t>
        </is>
      </c>
      <c r="C7" s="194" t="inlineStr">
        <is>
          <t>NoTanx</t>
        </is>
      </c>
      <c r="D7" s="194" t="inlineStr">
        <is>
          <t>Club</t>
        </is>
      </c>
      <c r="E7" s="194" t="inlineStr">
        <is>
          <t>Reports 500 pool sessions/year, UK holidays, international trips and branches in multiple cities.</t>
        </is>
      </c>
      <c r="F7" s="194" t="inlineStr">
        <is>
          <t>High</t>
        </is>
      </c>
      <c r="G7" s="273" t="n">
        <v>46240</v>
      </c>
      <c r="H7" s="194" t="inlineStr">
        <is>
          <t>https://www.notanx.com/about-us</t>
        </is>
      </c>
    </row>
    <row r="8" ht="56" customHeight="1">
      <c r="A8" s="194" t="inlineStr">
        <is>
          <t>S04</t>
        </is>
      </c>
      <c r="B8" s="194" t="inlineStr">
        <is>
          <t>Freediving</t>
        </is>
      </c>
      <c r="C8" s="194" t="inlineStr">
        <is>
          <t>Freediving London</t>
        </is>
      </c>
      <c r="D8" s="194" t="inlineStr">
        <is>
          <t>UK retailer</t>
        </is>
      </c>
      <c r="E8" s="194" t="inlineStr">
        <is>
          <t>Premium Alchemy carbon fins listed roughly £405–£675, showing premium AOV and existing UK specialist supply.</t>
        </is>
      </c>
      <c r="F8" s="194" t="inlineStr">
        <is>
          <t>High</t>
        </is>
      </c>
      <c r="G8" s="273" t="n">
        <v>46240</v>
      </c>
      <c r="H8" s="194" t="inlineStr">
        <is>
          <t>https://freedivinglondon.co.uk/product-category/alchemy/alchemy-fins/</t>
        </is>
      </c>
    </row>
    <row r="9" ht="56" customHeight="1">
      <c r="A9" s="194" t="inlineStr">
        <is>
          <t>S05</t>
        </is>
      </c>
      <c r="B9" s="194" t="inlineStr">
        <is>
          <t>Freediving</t>
        </is>
      </c>
      <c r="C9" s="194" t="inlineStr">
        <is>
          <t>Alchemy</t>
        </is>
      </c>
      <c r="D9" s="194" t="inlineStr">
        <is>
          <t>Manufacturer DTC</t>
        </is>
      </c>
      <c r="E9" s="194" t="inlineStr">
        <is>
          <t>Premium manufacturer has its own direct ecommerce/content presence.</t>
        </is>
      </c>
      <c r="F9" s="194" t="inlineStr">
        <is>
          <t>High</t>
        </is>
      </c>
      <c r="G9" s="273" t="n">
        <v>46240</v>
      </c>
      <c r="H9" s="194" t="inlineStr">
        <is>
          <t>https://alchemy.gr/</t>
        </is>
      </c>
    </row>
    <row r="10" ht="56" customHeight="1">
      <c r="A10" s="194" t="inlineStr">
        <is>
          <t>S06</t>
        </is>
      </c>
      <c r="B10" s="194" t="inlineStr">
        <is>
          <t>Freediving</t>
        </is>
      </c>
      <c r="C10" s="194" t="inlineStr">
        <is>
          <t>Mike's Dive Store</t>
        </is>
      </c>
      <c r="D10" s="194" t="inlineStr">
        <is>
          <t>UK competitor</t>
        </is>
      </c>
      <c r="E10" s="194" t="inlineStr">
        <is>
          <t>Large UK dive retailer with freediving/scuba breadth.</t>
        </is>
      </c>
      <c r="F10" s="194" t="inlineStr">
        <is>
          <t>High</t>
        </is>
      </c>
      <c r="G10" s="273" t="n">
        <v>46240</v>
      </c>
      <c r="H10" s="194" t="inlineStr">
        <is>
          <t>https://www.mikesdivestore.com/</t>
        </is>
      </c>
    </row>
    <row r="11" ht="56" customHeight="1">
      <c r="A11" s="194" t="inlineStr">
        <is>
          <t>S07</t>
        </is>
      </c>
      <c r="B11" s="194" t="inlineStr">
        <is>
          <t>Freediving</t>
        </is>
      </c>
      <c r="C11" s="194" t="inlineStr">
        <is>
          <t>Spearfishing UK</t>
        </is>
      </c>
      <c r="D11" s="194" t="inlineStr">
        <is>
          <t>UK competitor</t>
        </is>
      </c>
      <c r="E11" s="194" t="inlineStr">
        <is>
          <t>Specialist UK freediving/spearfishing category supply.</t>
        </is>
      </c>
      <c r="F11" s="194" t="inlineStr">
        <is>
          <t>High</t>
        </is>
      </c>
      <c r="G11" s="273" t="n">
        <v>46240</v>
      </c>
      <c r="H11" s="194" t="inlineStr">
        <is>
          <t>https://www.spearfishing.co.uk/freediving-gear/</t>
        </is>
      </c>
    </row>
    <row r="12" ht="56" customHeight="1">
      <c r="A12" s="194" t="inlineStr">
        <is>
          <t>S08</t>
        </is>
      </c>
      <c r="B12" s="194" t="inlineStr">
        <is>
          <t>Acoustics</t>
        </is>
      </c>
      <c r="C12" s="194" t="inlineStr">
        <is>
          <t>AcousticPanels.co.uk</t>
        </is>
      </c>
      <c r="D12" s="194" t="inlineStr">
        <is>
          <t>Supplier</t>
        </is>
      </c>
      <c r="E12" s="194" t="inlineStr">
        <is>
          <t>Explicit reseller/trade programme and trade pricing.</t>
        </is>
      </c>
      <c r="F12" s="194" t="inlineStr">
        <is>
          <t>High</t>
        </is>
      </c>
      <c r="G12" s="273" t="n">
        <v>46240</v>
      </c>
      <c r="H12" s="194" t="inlineStr">
        <is>
          <t>https://acousticpanels.co.uk/trade/</t>
        </is>
      </c>
    </row>
    <row r="13" ht="56" customHeight="1">
      <c r="A13" s="194" t="inlineStr">
        <is>
          <t>S09</t>
        </is>
      </c>
      <c r="B13" s="194" t="inlineStr">
        <is>
          <t>Acoustics</t>
        </is>
      </c>
      <c r="C13" s="194" t="inlineStr">
        <is>
          <t>GIK Acoustics</t>
        </is>
      </c>
      <c r="D13" s="194" t="inlineStr">
        <is>
          <t>Competitor</t>
        </is>
      </c>
      <c r="E13" s="194" t="inlineStr">
        <is>
          <t>Broad performance panel range and free room advice.</t>
        </is>
      </c>
      <c r="F13" s="194" t="inlineStr">
        <is>
          <t>High</t>
        </is>
      </c>
      <c r="G13" s="273" t="n">
        <v>46240</v>
      </c>
      <c r="H13" s="194" t="inlineStr">
        <is>
          <t>https://www.gikacoustics.net/en-gb/collections/acoustic-panels</t>
        </is>
      </c>
    </row>
    <row r="14" ht="56" customHeight="1">
      <c r="A14" s="194" t="inlineStr">
        <is>
          <t>S10</t>
        </is>
      </c>
      <c r="B14" s="194" t="inlineStr">
        <is>
          <t>Acoustics</t>
        </is>
      </c>
      <c r="C14" s="194" t="inlineStr">
        <is>
          <t>GIK Acoustics room kits</t>
        </is>
      </c>
      <c r="D14" s="194" t="inlineStr">
        <is>
          <t>Price benchmark</t>
        </is>
      </c>
      <c r="E14" s="194" t="inlineStr">
        <is>
          <t>Performance room kits start around £849 in the UK.</t>
        </is>
      </c>
      <c r="F14" s="194" t="inlineStr">
        <is>
          <t>High</t>
        </is>
      </c>
      <c r="G14" s="273" t="n">
        <v>46240</v>
      </c>
      <c r="H14" s="194" t="inlineStr">
        <is>
          <t>https://www.gikacoustics.net/en-gb/products/room-kits</t>
        </is>
      </c>
    </row>
    <row r="15" ht="56" customHeight="1">
      <c r="A15" s="194" t="inlineStr">
        <is>
          <t>S11</t>
        </is>
      </c>
      <c r="B15" s="194" t="inlineStr">
        <is>
          <t>Acoustics</t>
        </is>
      </c>
      <c r="C15" s="194" t="inlineStr">
        <is>
          <t>SilentSpace</t>
        </is>
      </c>
      <c r="D15" s="194" t="inlineStr">
        <is>
          <t>UK manufacturer</t>
        </is>
      </c>
      <c r="E15" s="194" t="inlineStr">
        <is>
          <t>Custom UK acoustic panel manufacturing and bespoke design.</t>
        </is>
      </c>
      <c r="F15" s="194" t="inlineStr">
        <is>
          <t>High</t>
        </is>
      </c>
      <c r="G15" s="273" t="n">
        <v>46240</v>
      </c>
      <c r="H15" s="194" t="inlineStr">
        <is>
          <t>https://silent-space.co.uk/</t>
        </is>
      </c>
    </row>
    <row r="16" ht="56" customHeight="1">
      <c r="A16" s="194" t="inlineStr">
        <is>
          <t>S12</t>
        </is>
      </c>
      <c r="B16" s="194" t="inlineStr">
        <is>
          <t>Acoustics</t>
        </is>
      </c>
      <c r="C16" s="194" t="inlineStr">
        <is>
          <t>The Wood Veneer Hub</t>
        </is>
      </c>
      <c r="D16" s="194" t="inlineStr">
        <is>
          <t>Compliance benchmark</t>
        </is>
      </c>
      <c r="E16" s="194" t="inlineStr">
        <is>
          <t>Fire-rated slat panels cite B-s1,d0 / BS EN 13501-1, demonstrating certification expectations.</t>
        </is>
      </c>
      <c r="F16" s="194" t="inlineStr">
        <is>
          <t>High</t>
        </is>
      </c>
      <c r="G16" s="273" t="n">
        <v>46240</v>
      </c>
      <c r="H16" s="194" t="inlineStr">
        <is>
          <t>https://www.thewoodveneerhub.co.uk/products/acupanel-fire-rated-acoustic-wood-wall-panel-samples</t>
        </is>
      </c>
    </row>
    <row r="17" ht="56" customHeight="1">
      <c r="A17" s="194" t="inlineStr">
        <is>
          <t>S13</t>
        </is>
      </c>
      <c r="B17" s="194" t="inlineStr">
        <is>
          <t>Acoustics</t>
        </is>
      </c>
      <c r="C17" s="194" t="inlineStr">
        <is>
          <t>Global Market Insights</t>
        </is>
      </c>
      <c r="D17" s="194" t="inlineStr">
        <is>
          <t>Commercial market report</t>
        </is>
      </c>
      <c r="E17" s="194" t="inlineStr">
        <is>
          <t>Estimates global acoustic-panel market growth; directional only, not a UK demand count.</t>
        </is>
      </c>
      <c r="F17" s="194" t="inlineStr">
        <is>
          <t>Low</t>
        </is>
      </c>
      <c r="G17" s="273" t="n">
        <v>46240</v>
      </c>
      <c r="H17" s="194" t="inlineStr">
        <is>
          <t>https://www.gminsights.com/industry-analysis/acoustic-panel-market</t>
        </is>
      </c>
    </row>
    <row r="18" ht="56" customHeight="1">
      <c r="A18" s="194" t="inlineStr">
        <is>
          <t>S14</t>
        </is>
      </c>
      <c r="B18" s="194" t="inlineStr">
        <is>
          <t>Rainwater</t>
        </is>
      </c>
      <c r="C18" s="194" t="inlineStr">
        <is>
          <t>UK Government / National Drought Group</t>
        </is>
      </c>
      <c r="D18" s="194" t="inlineStr">
        <is>
          <t>Government</t>
        </is>
      </c>
      <c r="E18" s="194" t="inlineStr">
        <is>
          <t>July 2026 heat/dry weather put pressure on supply; water demand rose up to 30% on hottest days.</t>
        </is>
      </c>
      <c r="F18" s="194" t="inlineStr">
        <is>
          <t>High</t>
        </is>
      </c>
      <c r="G18" s="273" t="n">
        <v>46240</v>
      </c>
      <c r="H18" s="194" t="inlineStr">
        <is>
          <t>https://www.gov.uk/government/news/national-drought-group-steps-up-response-after-third-heatwave</t>
        </is>
      </c>
    </row>
    <row r="19" ht="56" customHeight="1">
      <c r="A19" s="194" t="inlineStr">
        <is>
          <t>S15</t>
        </is>
      </c>
      <c r="B19" s="194" t="inlineStr">
        <is>
          <t>Rainwater</t>
        </is>
      </c>
      <c r="C19" s="194" t="inlineStr">
        <is>
          <t>House of Lords committee</t>
        </is>
      </c>
      <c r="D19" s="194" t="inlineStr">
        <is>
          <t>Parliament</t>
        </is>
      </c>
      <c r="E19" s="194" t="inlineStr">
        <is>
          <t>England is on course for a public-water deficit of 5bn litres/day by 2055; report calls for reclaiming rain.</t>
        </is>
      </c>
      <c r="F19" s="194" t="inlineStr">
        <is>
          <t>High</t>
        </is>
      </c>
      <c r="G19" s="273" t="n">
        <v>46240</v>
      </c>
      <c r="H19" s="194" t="inlineStr">
        <is>
          <t>https://committees.parliament.uk/committee/515/environment-and-climate-change-committee/news/213609/lords-committee-publish-report-on-surviving-drought-reclaiming-the-rain/</t>
        </is>
      </c>
    </row>
    <row r="20" ht="56" customHeight="1">
      <c r="A20" s="194" t="inlineStr">
        <is>
          <t>S16</t>
        </is>
      </c>
      <c r="B20" s="194" t="inlineStr">
        <is>
          <t>Rainwater</t>
        </is>
      </c>
      <c r="C20" s="194" t="inlineStr">
        <is>
          <t>Stormsaver</t>
        </is>
      </c>
      <c r="D20" s="194" t="inlineStr">
        <is>
          <t>UK supplier</t>
        </is>
      </c>
      <c r="E20" s="194" t="inlineStr">
        <is>
          <t>Domestic average around £4k; commercial systems typically £15k–£40k+; BS 16941-1:2024 and install network evidence.</t>
        </is>
      </c>
      <c r="F20" s="194" t="inlineStr">
        <is>
          <t>High</t>
        </is>
      </c>
      <c r="G20" s="273" t="n">
        <v>46240</v>
      </c>
      <c r="H20" s="194" t="inlineStr">
        <is>
          <t>https://www.stormsaver.com/rainwater-harvesting/</t>
        </is>
      </c>
    </row>
    <row r="21" ht="56" customHeight="1">
      <c r="A21" s="194" t="inlineStr">
        <is>
          <t>S17</t>
        </is>
      </c>
      <c r="B21" s="194" t="inlineStr">
        <is>
          <t>Rainwater</t>
        </is>
      </c>
      <c r="C21" s="194" t="inlineStr">
        <is>
          <t>Rainharvesting Systems</t>
        </is>
      </c>
      <c r="D21" s="194" t="inlineStr">
        <is>
          <t>UK distributor</t>
        </is>
      </c>
      <c r="E21" s="194" t="inlineStr">
        <is>
          <t>Appointed exclusive UK partner for WISY—proof exclusivity exists in this category.</t>
        </is>
      </c>
      <c r="F21" s="194" t="inlineStr">
        <is>
          <t>High</t>
        </is>
      </c>
      <c r="G21" s="273" t="n">
        <v>46240</v>
      </c>
      <c r="H21" s="194" t="inlineStr">
        <is>
          <t>https://rainharvesting.co.uk/</t>
        </is>
      </c>
    </row>
    <row r="22" ht="56" customHeight="1">
      <c r="A22" s="194" t="inlineStr">
        <is>
          <t>S18</t>
        </is>
      </c>
      <c r="B22" s="194" t="inlineStr">
        <is>
          <t>Rainwater</t>
        </is>
      </c>
      <c r="C22" s="194" t="inlineStr">
        <is>
          <t>Rainwater Harvesting Ltd</t>
        </is>
      </c>
      <c r="D22" s="194" t="inlineStr">
        <is>
          <t>Supplier document</t>
        </is>
      </c>
      <c r="E22" s="194" t="inlineStr">
        <is>
          <t>Distributor pack signals a manufacturer/distributor route (document may be older; terms require reconfirmation).</t>
        </is>
      </c>
      <c r="F22" s="194" t="inlineStr">
        <is>
          <t>Medium</t>
        </is>
      </c>
      <c r="G22" s="273" t="n">
        <v>46240</v>
      </c>
      <c r="H22" s="194" t="inlineStr">
        <is>
          <t>https://www.rainwater-harvesting.co.uk/downloads/pdf/rainwater-harvesting/distributors-pack.pdf</t>
        </is>
      </c>
    </row>
    <row r="23" ht="56" customHeight="1">
      <c r="A23" s="194" t="inlineStr">
        <is>
          <t>S19</t>
        </is>
      </c>
      <c r="B23" s="194" t="inlineStr">
        <is>
          <t>Sensory</t>
        </is>
      </c>
      <c r="C23" s="194" t="inlineStr">
        <is>
          <t>Sense Sensory</t>
        </is>
      </c>
      <c r="D23" s="194" t="inlineStr">
        <is>
          <t>UK manufacturer</t>
        </is>
      </c>
      <c r="E23" s="194" t="inlineStr">
        <is>
          <t>Explicitly invites resellers/distributors to discuss pricing and next steps.</t>
        </is>
      </c>
      <c r="F23" s="194" t="inlineStr">
        <is>
          <t>High</t>
        </is>
      </c>
      <c r="G23" s="273" t="n">
        <v>46240</v>
      </c>
      <c r="H23" s="194" t="inlineStr">
        <is>
          <t>https://www.sensesensory.co.uk/resellers-distributors/</t>
        </is>
      </c>
    </row>
    <row r="24" ht="56" customHeight="1">
      <c r="A24" s="194" t="inlineStr">
        <is>
          <t>S20</t>
        </is>
      </c>
      <c r="B24" s="194" t="inlineStr">
        <is>
          <t>Sensory</t>
        </is>
      </c>
      <c r="C24" s="194" t="inlineStr">
        <is>
          <t>Department for Education</t>
        </is>
      </c>
      <c r="D24" s="194" t="inlineStr">
        <is>
          <t>Government</t>
        </is>
      </c>
      <c r="E24" s="194" t="inlineStr">
        <is>
          <t>£3.7bn to 2030 for accessible buildings, special-school places and mainstream inclusion bases.</t>
        </is>
      </c>
      <c r="F24" s="194" t="inlineStr">
        <is>
          <t>High</t>
        </is>
      </c>
      <c r="G24" s="273" t="n">
        <v>46240</v>
      </c>
      <c r="H24" s="194" t="inlineStr">
        <is>
          <t>https://www.gov.uk/government/consultations/send-reform-putting-children-and-young-people-first/send-reform-putting-children-and-young-people-first-html-version</t>
        </is>
      </c>
    </row>
    <row r="25" ht="56" customHeight="1">
      <c r="A25" s="194" t="inlineStr">
        <is>
          <t>S21</t>
        </is>
      </c>
      <c r="B25" s="194" t="inlineStr">
        <is>
          <t>Sensory</t>
        </is>
      </c>
      <c r="C25" s="194" t="inlineStr">
        <is>
          <t>DfE buying framework</t>
        </is>
      </c>
      <c r="D25" s="194" t="inlineStr">
        <is>
          <t>Government procurement</t>
        </is>
      </c>
      <c r="E25" s="194" t="inlineStr">
        <is>
          <t>Framework explicitly covers sensory equipment/services and calm learning spaces including rooms, pools and gardens.</t>
        </is>
      </c>
      <c r="F25" s="194" t="inlineStr">
        <is>
          <t>High</t>
        </is>
      </c>
      <c r="G25" s="273" t="n">
        <v>46240</v>
      </c>
      <c r="H25" s="194" t="inlineStr">
        <is>
          <t>https://get-help-buying-for-schools.education.gov.uk/categories/office-education-supplies/sensory-equipment-and-associated-services</t>
        </is>
      </c>
    </row>
    <row r="26" ht="56" customHeight="1">
      <c r="A26" s="194" t="inlineStr">
        <is>
          <t>S22</t>
        </is>
      </c>
      <c r="B26" s="194" t="inlineStr">
        <is>
          <t>Sensory</t>
        </is>
      </c>
      <c r="C26" s="194" t="inlineStr">
        <is>
          <t>SpaceKraft</t>
        </is>
      </c>
      <c r="D26" s="194" t="inlineStr">
        <is>
          <t>Competitor</t>
        </is>
      </c>
      <c r="E26" s="194" t="inlineStr">
        <is>
          <t>Established UK sensory-room equipment and package provider.</t>
        </is>
      </c>
      <c r="F26" s="194" t="inlineStr">
        <is>
          <t>High</t>
        </is>
      </c>
      <c r="G26" s="273" t="n">
        <v>46240</v>
      </c>
      <c r="H26" s="194" t="inlineStr">
        <is>
          <t>https://www.spacekraft.co.uk/</t>
        </is>
      </c>
    </row>
    <row r="27" ht="56" customHeight="1">
      <c r="A27" s="194" t="inlineStr">
        <is>
          <t>S23</t>
        </is>
      </c>
      <c r="B27" s="194" t="inlineStr">
        <is>
          <t>Sensory</t>
        </is>
      </c>
      <c r="C27" s="194" t="inlineStr">
        <is>
          <t>Total Sensory</t>
        </is>
      </c>
      <c r="D27" s="194" t="inlineStr">
        <is>
          <t>Competitor</t>
        </is>
      </c>
      <c r="E27" s="194" t="inlineStr">
        <is>
          <t>Large package/room offering, illustrating multi-thousand-pound project AOV.</t>
        </is>
      </c>
      <c r="F27" s="194" t="inlineStr">
        <is>
          <t>High</t>
        </is>
      </c>
      <c r="G27" s="273" t="n">
        <v>46240</v>
      </c>
      <c r="H27" s="194" t="inlineStr">
        <is>
          <t>https://www.totalsensory.co.uk/sensory-rooms/</t>
        </is>
      </c>
    </row>
    <row r="28" ht="56" customHeight="1">
      <c r="A28" s="194" t="inlineStr">
        <is>
          <t>S24</t>
        </is>
      </c>
      <c r="B28" s="194" t="inlineStr">
        <is>
          <t>Composting toilets</t>
        </is>
      </c>
      <c r="C28" s="194" t="inlineStr">
        <is>
          <t>CompoCloset</t>
        </is>
      </c>
      <c r="D28" s="194" t="inlineStr">
        <is>
          <t>Supplier</t>
        </is>
      </c>
      <c r="E28" s="194" t="inlineStr">
        <is>
          <t>Explicit B2B wholesale partner programme.</t>
        </is>
      </c>
      <c r="F28" s="194" t="inlineStr">
        <is>
          <t>High</t>
        </is>
      </c>
      <c r="G28" s="273" t="n">
        <v>46240</v>
      </c>
      <c r="H28" s="194" t="inlineStr">
        <is>
          <t>https://compocloset.co.uk/pages/wholesale-signup-form</t>
        </is>
      </c>
    </row>
    <row r="29" ht="56" customHeight="1">
      <c r="A29" s="194" t="inlineStr">
        <is>
          <t>S25</t>
        </is>
      </c>
      <c r="B29" s="194" t="inlineStr">
        <is>
          <t>Composting toilets</t>
        </is>
      </c>
      <c r="C29" s="194" t="inlineStr">
        <is>
          <t>Camping and Caravanning Club</t>
        </is>
      </c>
      <c r="D29" s="194" t="inlineStr">
        <is>
          <t>Industry body</t>
        </is>
      </c>
      <c r="E29" s="194" t="inlineStr">
        <is>
          <t>Names separation toilets as a 2026 camping trend.</t>
        </is>
      </c>
      <c r="F29" s="194" t="inlineStr">
        <is>
          <t>High</t>
        </is>
      </c>
      <c r="G29" s="273" t="n">
        <v>46240</v>
      </c>
      <c r="H29" s="194" t="inlineStr">
        <is>
          <t>https://www.campingandcaravanningclub.co.uk/media-centre/press-releases/2025/camping-trend-predictions-2026/</t>
        </is>
      </c>
    </row>
    <row r="30" ht="56" customHeight="1">
      <c r="A30" s="194" t="inlineStr">
        <is>
          <t>S26</t>
        </is>
      </c>
      <c r="B30" s="194" t="inlineStr">
        <is>
          <t>Composting toilets</t>
        </is>
      </c>
      <c r="C30" s="194" t="inlineStr">
        <is>
          <t>Simploo</t>
        </is>
      </c>
      <c r="D30" s="194" t="inlineStr">
        <is>
          <t>Manufacturer DTC</t>
        </is>
      </c>
      <c r="E30" s="194" t="inlineStr">
        <is>
          <t>Made-to-order waterless toilets around £529–£549 and six-week lead time.</t>
        </is>
      </c>
      <c r="F30" s="194" t="inlineStr">
        <is>
          <t>High</t>
        </is>
      </c>
      <c r="G30" s="273" t="n">
        <v>46240</v>
      </c>
      <c r="H30" s="194" t="inlineStr">
        <is>
          <t>https://simploo.uk/product/simploo-waterless-composting-toilet/</t>
        </is>
      </c>
    </row>
    <row r="31" ht="56" customHeight="1">
      <c r="A31" s="194" t="inlineStr">
        <is>
          <t>S27</t>
        </is>
      </c>
      <c r="B31" s="194" t="inlineStr">
        <is>
          <t>Composting toilets</t>
        </is>
      </c>
      <c r="C31" s="194" t="inlineStr">
        <is>
          <t>NatSol</t>
        </is>
      </c>
      <c r="D31" s="194" t="inlineStr">
        <is>
          <t>UK specialist</t>
        </is>
      </c>
      <c r="E31" s="194" t="inlineStr">
        <is>
          <t>Claims 1,000+ UK installations and long-term technical support.</t>
        </is>
      </c>
      <c r="F31" s="194" t="inlineStr">
        <is>
          <t>High</t>
        </is>
      </c>
      <c r="G31" s="273" t="n">
        <v>46240</v>
      </c>
      <c r="H31" s="194" t="inlineStr">
        <is>
          <t>https://natsol.co.uk/</t>
        </is>
      </c>
    </row>
    <row r="32" ht="56" customHeight="1">
      <c r="A32" s="194" t="inlineStr">
        <is>
          <t>S28</t>
        </is>
      </c>
      <c r="B32" s="194" t="inlineStr">
        <is>
          <t>Composting toilets</t>
        </is>
      </c>
      <c r="C32" s="194" t="inlineStr">
        <is>
          <t>Trelino</t>
        </is>
      </c>
      <c r="D32" s="194" t="inlineStr">
        <is>
          <t>Manufacturer affiliate</t>
        </is>
      </c>
      <c r="E32" s="194" t="inlineStr">
        <is>
          <t>Public partner route is affiliate commission up to 5%, inadequate for a core wholesale model.</t>
        </is>
      </c>
      <c r="F32" s="194" t="inlineStr">
        <is>
          <t>High</t>
        </is>
      </c>
      <c r="G32" s="273" t="n">
        <v>46240</v>
      </c>
      <c r="H32" s="194" t="inlineStr">
        <is>
          <t>https://www.trelino.com/en-gb/pages/become-a-partner</t>
        </is>
      </c>
    </row>
    <row r="33" ht="56" customHeight="1">
      <c r="A33" s="194" t="inlineStr">
        <is>
          <t>S29</t>
        </is>
      </c>
      <c r="B33" s="194" t="inlineStr">
        <is>
          <t>Pond</t>
        </is>
      </c>
      <c r="C33" s="194" t="inlineStr">
        <is>
          <t>OASE</t>
        </is>
      </c>
      <c r="D33" s="194" t="inlineStr">
        <is>
          <t>Manufacturer/dealer</t>
        </is>
      </c>
      <c r="E33" s="194" t="inlineStr">
        <is>
          <t>Dedicated dealer service/partner route.</t>
        </is>
      </c>
      <c r="F33" s="194" t="inlineStr">
        <is>
          <t>High</t>
        </is>
      </c>
      <c r="G33" s="273" t="n">
        <v>46240</v>
      </c>
      <c r="H33" s="194" t="inlineStr">
        <is>
          <t>https://www.oase.com/gb-en/service/for-dealers.html</t>
        </is>
      </c>
    </row>
    <row r="34" ht="56" customHeight="1">
      <c r="A34" s="194" t="inlineStr">
        <is>
          <t>S30</t>
        </is>
      </c>
      <c r="B34" s="194" t="inlineStr">
        <is>
          <t>Pond</t>
        </is>
      </c>
      <c r="C34" s="194" t="inlineStr">
        <is>
          <t>Oasis Aquatics</t>
        </is>
      </c>
      <c r="D34" s="194" t="inlineStr">
        <is>
          <t>Wholesaler</t>
        </is>
      </c>
      <c r="E34" s="194" t="inlineStr">
        <is>
          <t>UK aquatic wholesale route.</t>
        </is>
      </c>
      <c r="F34" s="194" t="inlineStr">
        <is>
          <t>High</t>
        </is>
      </c>
      <c r="G34" s="273" t="n">
        <v>46240</v>
      </c>
      <c r="H34" s="194" t="inlineStr">
        <is>
          <t>https://oasisaquatics.co.uk/</t>
        </is>
      </c>
    </row>
    <row r="35" ht="56" customHeight="1">
      <c r="A35" s="194" t="inlineStr">
        <is>
          <t>S31</t>
        </is>
      </c>
      <c r="B35" s="194" t="inlineStr">
        <is>
          <t>Pond</t>
        </is>
      </c>
      <c r="C35" s="194" t="inlineStr">
        <is>
          <t>Horticultural Trades Association</t>
        </is>
      </c>
      <c r="D35" s="194" t="inlineStr">
        <is>
          <t>Trade body</t>
        </is>
      </c>
      <c r="E35" s="194" t="inlineStr">
        <is>
          <t>UK garden-industry scale and household access to gardens.</t>
        </is>
      </c>
      <c r="F35" s="194" t="inlineStr">
        <is>
          <t>High</t>
        </is>
      </c>
      <c r="G35" s="273" t="n">
        <v>46240</v>
      </c>
      <c r="H35" s="194" t="inlineStr">
        <is>
          <t>https://hta.org.uk/news-events-current-issues/industry-data/garden-industry-statistics/</t>
        </is>
      </c>
    </row>
    <row r="36" ht="56" customHeight="1">
      <c r="A36" s="194" t="inlineStr">
        <is>
          <t>S32</t>
        </is>
      </c>
      <c r="B36" s="194" t="inlineStr">
        <is>
          <t>Pond</t>
        </is>
      </c>
      <c r="C36" s="194" t="inlineStr">
        <is>
          <t>The Guardian</t>
        </is>
      </c>
      <c r="D36" s="194" t="inlineStr">
        <is>
          <t>News</t>
        </is>
      </c>
      <c r="E36" s="194" t="inlineStr">
        <is>
          <t>Reported a 35% rise in aquatic-garden-plant sales in 2023, a directional pond-interest signal.</t>
        </is>
      </c>
      <c r="F36" s="194" t="inlineStr">
        <is>
          <t>Medium</t>
        </is>
      </c>
      <c r="G36" s="273" t="n">
        <v>46240</v>
      </c>
      <c r="H36" s="194" t="inlineStr">
        <is>
          <t>https://www.theguardian.com/lifeandstyle/article/2024/jun/29/britain-embraces-pond-life-as-aquatic-garden-plant-sales-boom</t>
        </is>
      </c>
    </row>
    <row r="37" ht="56" customHeight="1">
      <c r="A37" s="194" t="inlineStr">
        <is>
          <t>S33</t>
        </is>
      </c>
      <c r="B37" s="194" t="inlineStr">
        <is>
          <t>Pond</t>
        </is>
      </c>
      <c r="C37" s="194" t="inlineStr">
        <is>
          <t>Pondkeeper</t>
        </is>
      </c>
      <c r="D37" s="194" t="inlineStr">
        <is>
          <t>Price benchmark</t>
        </is>
      </c>
      <c r="E37" s="194" t="inlineStr">
        <is>
          <t>Koi filtration products roughly £850–£1,645 demonstrate upper-category AOV.</t>
        </is>
      </c>
      <c r="F37" s="194" t="inlineStr">
        <is>
          <t>High</t>
        </is>
      </c>
      <c r="G37" s="273" t="n">
        <v>46240</v>
      </c>
      <c r="H37" s="194" t="inlineStr">
        <is>
          <t>https://www.pondkeeper.co.uk/pond-products/pond-filters/koi-filters/</t>
        </is>
      </c>
    </row>
    <row r="38" ht="56" customHeight="1">
      <c r="A38" s="194" t="inlineStr">
        <is>
          <t>S34</t>
        </is>
      </c>
      <c r="B38" s="194" t="inlineStr">
        <is>
          <t>Thermal diagnostics</t>
        </is>
      </c>
      <c r="C38" s="194" t="inlineStr">
        <is>
          <t>PASS Thermal</t>
        </is>
      </c>
      <c r="D38" s="194" t="inlineStr">
        <is>
          <t>Retailer/price benchmark</t>
        </is>
      </c>
      <c r="E38" s="194" t="inlineStr">
        <is>
          <t>Building/energy cameras span roughly £792–£2,874+ for professional models.</t>
        </is>
      </c>
      <c r="F38" s="194" t="inlineStr">
        <is>
          <t>High</t>
        </is>
      </c>
      <c r="G38" s="273" t="n">
        <v>46240</v>
      </c>
      <c r="H38" s="194" t="inlineStr">
        <is>
          <t>https://www.pass-thermal.co.uk/thermal/energy-auditing-building-inspection-thermal-cameras</t>
        </is>
      </c>
    </row>
    <row r="39" ht="56" customHeight="1">
      <c r="A39" s="194" t="inlineStr">
        <is>
          <t>S35</t>
        </is>
      </c>
      <c r="B39" s="194" t="inlineStr">
        <is>
          <t>Thermal diagnostics</t>
        </is>
      </c>
      <c r="C39" s="194" t="inlineStr">
        <is>
          <t>UK Government EPC reform</t>
        </is>
      </c>
      <c r="D39" s="194" t="inlineStr">
        <is>
          <t>Government</t>
        </is>
      </c>
      <c r="E39" s="194" t="inlineStr">
        <is>
          <t>New EPC regime implementation is under active change; demand tailwind is plausible but timing remains unsettled.</t>
        </is>
      </c>
      <c r="F39" s="194" t="inlineStr">
        <is>
          <t>High</t>
        </is>
      </c>
      <c r="G39" s="273" t="n">
        <v>46240</v>
      </c>
      <c r="H39" s="194" t="inlineStr">
        <is>
          <t>https://www.gov.uk/government/consultations/reforms-to-the-energy-performance-of-buildings-regime/outcome/reforms-to-the-energy-performance-of-buildings-regime-partial-government-response</t>
        </is>
      </c>
    </row>
    <row r="40" ht="56" customHeight="1">
      <c r="A40" s="194" t="inlineStr">
        <is>
          <t>S36</t>
        </is>
      </c>
      <c r="B40" s="194" t="inlineStr">
        <is>
          <t>Thermal diagnostics</t>
        </is>
      </c>
      <c r="C40" s="194" t="inlineStr">
        <is>
          <t>FLIR</t>
        </is>
      </c>
      <c r="D40" s="194" t="inlineStr">
        <is>
          <t>Manufacturer</t>
        </is>
      </c>
      <c r="E40" s="194" t="inlineStr">
        <is>
          <t>Building-diagnostics use cases and product ecosystem.</t>
        </is>
      </c>
      <c r="F40" s="194" t="inlineStr">
        <is>
          <t>High</t>
        </is>
      </c>
      <c r="G40" s="273" t="n">
        <v>46240</v>
      </c>
      <c r="H40" s="194" t="inlineStr">
        <is>
          <t>https://www.flir.com/en-gb/discover/instruments/building-diagnostics/</t>
        </is>
      </c>
    </row>
    <row r="41" ht="56" customHeight="1">
      <c r="A41" s="194" t="inlineStr">
        <is>
          <t>S37</t>
        </is>
      </c>
      <c r="B41" s="194" t="inlineStr">
        <is>
          <t>Thermal diagnostics</t>
        </is>
      </c>
      <c r="C41" s="194" t="inlineStr">
        <is>
          <t>PASS / Tester</t>
        </is>
      </c>
      <c r="D41" s="194" t="inlineStr">
        <is>
          <t>Master distributor</t>
        </is>
      </c>
      <c r="E41" s="194" t="inlineStr">
        <is>
          <t>Existing FLIR UK master distributor illustrates channel strength and service expectations.</t>
        </is>
      </c>
      <c r="F41" s="194" t="inlineStr">
        <is>
          <t>High</t>
        </is>
      </c>
      <c r="G41" s="273" t="n">
        <v>46240</v>
      </c>
      <c r="H41" s="194" t="inlineStr">
        <is>
          <t>https://www.tester.co.uk/brands/flir</t>
        </is>
      </c>
    </row>
    <row r="42" ht="56" customHeight="1">
      <c r="A42" s="194" t="inlineStr">
        <is>
          <t>S38</t>
        </is>
      </c>
      <c r="B42" s="194" t="inlineStr">
        <is>
          <t>Electric outboards</t>
        </is>
      </c>
      <c r="C42" s="194" t="inlineStr">
        <is>
          <t>ePropulsion</t>
        </is>
      </c>
      <c r="D42" s="194" t="inlineStr">
        <is>
          <t>Manufacturer</t>
        </is>
      </c>
      <c r="E42" s="194" t="inlineStr">
        <is>
          <t>Open dealer application route.</t>
        </is>
      </c>
      <c r="F42" s="194" t="inlineStr">
        <is>
          <t>High</t>
        </is>
      </c>
      <c r="G42" s="273" t="n">
        <v>46240</v>
      </c>
      <c r="H42" s="194" t="inlineStr">
        <is>
          <t>https://www.epropulsion.com/contact/become-a-dealer</t>
        </is>
      </c>
    </row>
    <row r="43" ht="56" customHeight="1">
      <c r="A43" s="194" t="inlineStr">
        <is>
          <t>S39</t>
        </is>
      </c>
      <c r="B43" s="194" t="inlineStr">
        <is>
          <t>Electric outboards</t>
        </is>
      </c>
      <c r="C43" s="194" t="inlineStr">
        <is>
          <t>Torqeedo</t>
        </is>
      </c>
      <c r="D43" s="194" t="inlineStr">
        <is>
          <t>Manufacturer</t>
        </is>
      </c>
      <c r="E43" s="194" t="inlineStr">
        <is>
          <t>Established dealer network.</t>
        </is>
      </c>
      <c r="F43" s="194" t="inlineStr">
        <is>
          <t>High</t>
        </is>
      </c>
      <c r="G43" s="273" t="n">
        <v>46240</v>
      </c>
      <c r="H43" s="194" t="inlineStr">
        <is>
          <t>https://www.torqeedo.com/dealers/find-a-dealer</t>
        </is>
      </c>
    </row>
    <row r="44" ht="56" customHeight="1">
      <c r="A44" s="194" t="inlineStr">
        <is>
          <t>S40</t>
        </is>
      </c>
      <c r="B44" s="194" t="inlineStr">
        <is>
          <t>Electric outboards</t>
        </is>
      </c>
      <c r="C44" s="194" t="inlineStr">
        <is>
          <t>Golden Arrow</t>
        </is>
      </c>
      <c r="D44" s="194" t="inlineStr">
        <is>
          <t>UK distributor</t>
        </is>
      </c>
      <c r="E44" s="194" t="inlineStr">
        <is>
          <t>Existing UK Torqeedo distributor/dealer infrastructure.</t>
        </is>
      </c>
      <c r="F44" s="194" t="inlineStr">
        <is>
          <t>High</t>
        </is>
      </c>
      <c r="G44" s="273" t="n">
        <v>46240</v>
      </c>
      <c r="H44" s="194" t="inlineStr">
        <is>
          <t>https://www.goldenarrow.co.uk/torqeedo-uk/</t>
        </is>
      </c>
    </row>
    <row r="45" ht="56" customHeight="1">
      <c r="A45" s="194" t="inlineStr">
        <is>
          <t>S41</t>
        </is>
      </c>
      <c r="B45" s="194" t="inlineStr">
        <is>
          <t>Electric outboards</t>
        </is>
      </c>
      <c r="C45" s="194" t="inlineStr">
        <is>
          <t>Boatworld</t>
        </is>
      </c>
      <c r="D45" s="194" t="inlineStr">
        <is>
          <t>Retailer/price benchmark</t>
        </is>
      </c>
      <c r="E45" s="194" t="inlineStr">
        <is>
          <t>Electric outboards roughly £995–£8,400+.</t>
        </is>
      </c>
      <c r="F45" s="194" t="inlineStr">
        <is>
          <t>High</t>
        </is>
      </c>
      <c r="G45" s="273" t="n">
        <v>46240</v>
      </c>
      <c r="H45" s="194" t="inlineStr">
        <is>
          <t>https://boatworld.co.uk/collections/electric-outboards</t>
        </is>
      </c>
    </row>
    <row r="46" ht="56" customHeight="1">
      <c r="A46" s="194" t="inlineStr">
        <is>
          <t>S42</t>
        </is>
      </c>
      <c r="B46" s="194" t="inlineStr">
        <is>
          <t>Pottery</t>
        </is>
      </c>
      <c r="C46" s="194" t="inlineStr">
        <is>
          <t>Kilncrafts</t>
        </is>
      </c>
      <c r="D46" s="194" t="inlineStr">
        <is>
          <t>Retailer</t>
        </is>
      </c>
      <c r="E46" s="194" t="inlineStr">
        <is>
          <t>Pottery wheels around £1.5k–£5k and package-led newer entrant.</t>
        </is>
      </c>
      <c r="F46" s="194" t="inlineStr">
        <is>
          <t>High</t>
        </is>
      </c>
      <c r="G46" s="273" t="n">
        <v>46240</v>
      </c>
      <c r="H46" s="194" t="inlineStr">
        <is>
          <t>https://www.kilncrafts.co.uk/collections/pottery-wheels</t>
        </is>
      </c>
    </row>
    <row r="47" ht="56" customHeight="1">
      <c r="A47" s="194" t="inlineStr">
        <is>
          <t>S43</t>
        </is>
      </c>
      <c r="B47" s="194" t="inlineStr">
        <is>
          <t>Pottery</t>
        </is>
      </c>
      <c r="C47" s="194" t="inlineStr">
        <is>
          <t>Bath Potters</t>
        </is>
      </c>
      <c r="D47" s="194" t="inlineStr">
        <is>
          <t>Competitor</t>
        </is>
      </c>
      <c r="E47" s="194" t="inlineStr">
        <is>
          <t>Established technical retailer with multi-thousand-pound kiln/wheel range.</t>
        </is>
      </c>
      <c r="F47" s="194" t="inlineStr">
        <is>
          <t>High</t>
        </is>
      </c>
      <c r="G47" s="273" t="n">
        <v>46240</v>
      </c>
      <c r="H47" s="194" t="inlineStr">
        <is>
          <t>https://www.bathpotters.co.uk/kilns-wheels-equipment/c20</t>
        </is>
      </c>
    </row>
    <row r="48" ht="56" customHeight="1">
      <c r="A48" s="194" t="inlineStr">
        <is>
          <t>S44</t>
        </is>
      </c>
      <c r="B48" s="194" t="inlineStr">
        <is>
          <t>Pottery</t>
        </is>
      </c>
      <c r="C48" s="194" t="inlineStr">
        <is>
          <t>Cromartie</t>
        </is>
      </c>
      <c r="D48" s="194" t="inlineStr">
        <is>
          <t>Price benchmark</t>
        </is>
      </c>
      <c r="E48" s="194" t="inlineStr">
        <is>
          <t>Home studio starter pack around £4,250.</t>
        </is>
      </c>
      <c r="F48" s="194" t="inlineStr">
        <is>
          <t>High</t>
        </is>
      </c>
      <c r="G48" s="273" t="n">
        <v>46240</v>
      </c>
      <c r="H48" s="194" t="inlineStr">
        <is>
          <t>https://www.cromartiehobbycraft.co.uk/Catalogue/Ceramic-Kilns-Electric-Kilns-Pottery-Kilns/Cromartie-Eco-Hobbytech-Top-Loading-Kilns/Home-Studio-Starter-Pack-H30-Electric-Kiln-Cromartie-Wheel-Clay-H30STARTERPACK</t>
        </is>
      </c>
    </row>
    <row r="49" ht="56" customHeight="1">
      <c r="A49" s="194" t="inlineStr">
        <is>
          <t>S45</t>
        </is>
      </c>
      <c r="B49" s="194" t="inlineStr">
        <is>
          <t>Pottery</t>
        </is>
      </c>
      <c r="C49" s="194" t="inlineStr">
        <is>
          <t>Potclays</t>
        </is>
      </c>
      <c r="D49" s="194" t="inlineStr">
        <is>
          <t>Distributor</t>
        </is>
      </c>
      <c r="E49" s="194" t="inlineStr">
        <is>
          <t>Authorised distributor, price matching and long lead-time evidence.</t>
        </is>
      </c>
      <c r="F49" s="194" t="inlineStr">
        <is>
          <t>High</t>
        </is>
      </c>
      <c r="G49" s="273" t="n">
        <v>46240</v>
      </c>
      <c r="H49" s="194" t="inlineStr">
        <is>
          <t>https://www.potclays.co.uk/kilns-accessories-rohde-kilns/</t>
        </is>
      </c>
    </row>
    <row r="50" ht="56" customHeight="1">
      <c r="A50" s="194" t="inlineStr">
        <is>
          <t>S46</t>
        </is>
      </c>
      <c r="B50" s="194" t="inlineStr">
        <is>
          <t>Microcement</t>
        </is>
      </c>
      <c r="C50" s="194" t="inlineStr">
        <is>
          <t>Stone Age</t>
        </is>
      </c>
      <c r="D50" s="194" t="inlineStr">
        <is>
          <t>Manufacturer</t>
        </is>
      </c>
      <c r="E50" s="194" t="inlineStr">
        <is>
          <t>Actively seeks exclusive distributors with training/showroom support.</t>
        </is>
      </c>
      <c r="F50" s="194" t="inlineStr">
        <is>
          <t>Medium</t>
        </is>
      </c>
      <c r="G50" s="273" t="n">
        <v>46240</v>
      </c>
      <c r="H50" s="194" t="inlineStr">
        <is>
          <t>https://stoneage-global.com/</t>
        </is>
      </c>
    </row>
    <row r="51" ht="56" customHeight="1">
      <c r="A51" s="194" t="inlineStr">
        <is>
          <t>S47</t>
        </is>
      </c>
      <c r="B51" s="194" t="inlineStr">
        <is>
          <t>Microcement</t>
        </is>
      </c>
      <c r="C51" s="194" t="inlineStr">
        <is>
          <t>Forcrete</t>
        </is>
      </c>
      <c r="D51" s="194" t="inlineStr">
        <is>
          <t>UK manufacturer</t>
        </is>
      </c>
      <c r="E51" s="194" t="inlineStr">
        <is>
          <t>Only trained professionals can buy; technical support/training and approved installer network.</t>
        </is>
      </c>
      <c r="F51" s="194" t="inlineStr">
        <is>
          <t>High</t>
        </is>
      </c>
      <c r="G51" s="273" t="n">
        <v>46240</v>
      </c>
      <c r="H51" s="194" t="inlineStr">
        <is>
          <t>https://www.forcrete.co.uk/</t>
        </is>
      </c>
    </row>
    <row r="52" ht="56" customHeight="1">
      <c r="A52" s="194" t="inlineStr">
        <is>
          <t>S48</t>
        </is>
      </c>
      <c r="B52" s="194" t="inlineStr">
        <is>
          <t>Golf simulator</t>
        </is>
      </c>
      <c r="C52" s="194" t="inlineStr">
        <is>
          <t>Foresight Sports Europe</t>
        </is>
      </c>
      <c r="D52" s="194" t="inlineStr">
        <is>
          <t>Manufacturer</t>
        </is>
      </c>
      <c r="E52" s="194" t="inlineStr">
        <is>
          <t>Partner/demonstration programme exists.</t>
        </is>
      </c>
      <c r="F52" s="194" t="inlineStr">
        <is>
          <t>High</t>
        </is>
      </c>
      <c r="G52" s="273" t="n">
        <v>46240</v>
      </c>
      <c r="H52" s="194" t="inlineStr">
        <is>
          <t>https://foresightsports.eu/partner-programme/</t>
        </is>
      </c>
    </row>
    <row r="53" ht="56" customHeight="1">
      <c r="A53" s="194" t="inlineStr">
        <is>
          <t>S49</t>
        </is>
      </c>
      <c r="B53" s="194" t="inlineStr">
        <is>
          <t>Golf simulator</t>
        </is>
      </c>
      <c r="C53" s="194" t="inlineStr">
        <is>
          <t>GolfBays</t>
        </is>
      </c>
      <c r="D53" s="194" t="inlineStr">
        <is>
          <t>UK competitor</t>
        </is>
      </c>
      <c r="E53" s="194" t="inlineStr">
        <is>
          <t>Full components, bundles and major-brand offering.</t>
        </is>
      </c>
      <c r="F53" s="194" t="inlineStr">
        <is>
          <t>High</t>
        </is>
      </c>
      <c r="G53" s="273" t="n">
        <v>46240</v>
      </c>
      <c r="H53" s="194" t="inlineStr">
        <is>
          <t>https://golfbays.co.uk/</t>
        </is>
      </c>
    </row>
    <row r="54" ht="56" customHeight="1">
      <c r="A54" s="194" t="inlineStr">
        <is>
          <t>S50</t>
        </is>
      </c>
      <c r="B54" s="194" t="inlineStr">
        <is>
          <t>Pilates</t>
        </is>
      </c>
      <c r="C54" s="194" t="inlineStr">
        <is>
          <t>MAD-HQ / Align-Pilates</t>
        </is>
      </c>
      <c r="D54" s="194" t="inlineStr">
        <is>
          <t>Supplier/retailer</t>
        </is>
      </c>
      <c r="E54" s="194" t="inlineStr">
        <is>
          <t>Commercial reformers around £1,650–£2,450.</t>
        </is>
      </c>
      <c r="F54" s="194" t="inlineStr">
        <is>
          <t>High</t>
        </is>
      </c>
      <c r="G54" s="273" t="n">
        <v>46240</v>
      </c>
      <c r="H54" s="194" t="inlineStr">
        <is>
          <t>https://www.mad-hq.com/shop/pilates/pilates-reformers/commercial-pilates-reformers/</t>
        </is>
      </c>
    </row>
    <row r="55" ht="56" customHeight="1">
      <c r="A55" s="194" t="inlineStr">
        <is>
          <t>S51</t>
        </is>
      </c>
      <c r="B55" s="194" t="inlineStr">
        <is>
          <t>Pilates</t>
        </is>
      </c>
      <c r="C55" s="194" t="inlineStr">
        <is>
          <t>MetaStat Insight</t>
        </is>
      </c>
      <c r="D55" s="194" t="inlineStr">
        <is>
          <t>Commercial market report</t>
        </is>
      </c>
      <c r="E55" s="194" t="inlineStr">
        <is>
          <t>Estimates strong UK reformer growth; directional only and not independently audited here.</t>
        </is>
      </c>
      <c r="F55" s="194" t="inlineStr">
        <is>
          <t>Low</t>
        </is>
      </c>
      <c r="G55" s="273" t="n">
        <v>46240</v>
      </c>
      <c r="H55" s="194" t="inlineStr">
        <is>
          <t>https://metastatinsight.com/report/uk-pilates-reformer-market</t>
        </is>
      </c>
    </row>
    <row r="56" ht="56" customHeight="1">
      <c r="A56" s="194" t="inlineStr">
        <is>
          <t>S52</t>
        </is>
      </c>
      <c r="B56" s="194" t="inlineStr">
        <is>
          <t>Cold plunge</t>
        </is>
      </c>
      <c r="C56" s="194" t="inlineStr">
        <is>
          <t>LIT Method</t>
        </is>
      </c>
      <c r="D56" s="194" t="inlineStr">
        <is>
          <t>Supplier</t>
        </is>
      </c>
      <c r="E56" s="194" t="inlineStr">
        <is>
          <t>B2B trade programme with pricing/support/lead-time positioning.</t>
        </is>
      </c>
      <c r="F56" s="194" t="inlineStr">
        <is>
          <t>Medium</t>
        </is>
      </c>
      <c r="G56" s="273" t="n">
        <v>46240</v>
      </c>
      <c r="H56" s="194" t="inlineStr">
        <is>
          <t>https://www.litmethod.com/pages/b2b-trade</t>
        </is>
      </c>
    </row>
    <row r="57" ht="56" customHeight="1">
      <c r="A57" s="194" t="inlineStr">
        <is>
          <t>S53</t>
        </is>
      </c>
      <c r="B57" s="194" t="inlineStr">
        <is>
          <t>Pool robots</t>
        </is>
      </c>
      <c r="C57" s="194" t="inlineStr">
        <is>
          <t>1st Direct Pools</t>
        </is>
      </c>
      <c r="D57" s="194" t="inlineStr">
        <is>
          <t>UK competitor</t>
        </is>
      </c>
      <c r="E57" s="194" t="inlineStr">
        <is>
          <t>Stocks multiple premium robotic-cleaner brands and provides technical support.</t>
        </is>
      </c>
      <c r="F57" s="194" t="inlineStr">
        <is>
          <t>High</t>
        </is>
      </c>
      <c r="G57" s="273" t="n">
        <v>46240</v>
      </c>
      <c r="H57" s="194" t="inlineStr">
        <is>
          <t>https://www.1stdirectpools.com/swimming-pool-chemicals/cleaning-accessories/pool-cleaners/electric-cleaners</t>
        </is>
      </c>
    </row>
    <row r="58" ht="56" customHeight="1">
      <c r="A58" s="194" t="inlineStr">
        <is>
          <t>S54</t>
        </is>
      </c>
      <c r="B58" s="194" t="inlineStr">
        <is>
          <t>Freeze dryers</t>
        </is>
      </c>
      <c r="C58" s="194" t="inlineStr">
        <is>
          <t>Freeze Dryers UK</t>
        </is>
      </c>
      <c r="D58" s="194" t="inlineStr">
        <is>
          <t>UK competitor</t>
        </is>
      </c>
      <c r="E58" s="194" t="inlineStr">
        <is>
          <t>Harvest Right models around £2.5k–£5.3k.</t>
        </is>
      </c>
      <c r="F58" s="194" t="inlineStr">
        <is>
          <t>High</t>
        </is>
      </c>
      <c r="G58" s="273" t="n">
        <v>46240</v>
      </c>
      <c r="H58" s="194" t="inlineStr">
        <is>
          <t>https://www.freezedryersuk.com/</t>
        </is>
      </c>
    </row>
    <row r="59" ht="56" customHeight="1">
      <c r="A59" s="194" t="inlineStr">
        <is>
          <t>S55</t>
        </is>
      </c>
      <c r="B59" s="194" t="inlineStr">
        <is>
          <t>Robot mowers</t>
        </is>
      </c>
      <c r="C59" s="194" t="inlineStr">
        <is>
          <t>Mammotion UK</t>
        </is>
      </c>
      <c r="D59" s="194" t="inlineStr">
        <is>
          <t>Manufacturer DTC</t>
        </is>
      </c>
      <c r="E59" s="194" t="inlineStr">
        <is>
          <t>Direct UK ecommerce creates channel-conflict risk.</t>
        </is>
      </c>
      <c r="F59" s="194" t="inlineStr">
        <is>
          <t>High</t>
        </is>
      </c>
      <c r="G59" s="273" t="n">
        <v>46240</v>
      </c>
      <c r="H59" s="194" t="inlineStr">
        <is>
          <t>https://uk.mammotion.com/</t>
        </is>
      </c>
    </row>
    <row r="60" ht="56" customHeight="1">
      <c r="A60" s="194" t="inlineStr">
        <is>
          <t>S56</t>
        </is>
      </c>
      <c r="B60" s="194" t="inlineStr">
        <is>
          <t>Robot mowers</t>
        </is>
      </c>
      <c r="C60" s="194" t="inlineStr">
        <is>
          <t>TurfPro / Mower Magic</t>
        </is>
      </c>
      <c r="D60" s="194" t="inlineStr">
        <is>
          <t>Trade news</t>
        </is>
      </c>
      <c r="E60" s="194" t="inlineStr">
        <is>
          <t>Exclusive UK distribution demonstrates locked channel structure.</t>
        </is>
      </c>
      <c r="F60" s="194" t="inlineStr">
        <is>
          <t>Medium</t>
        </is>
      </c>
      <c r="G60" s="273" t="n">
        <v>46240</v>
      </c>
      <c r="H60" s="194" t="inlineStr">
        <is>
          <t>https://turfpro.co.uk/uk-distribution-for-new-robotic-mowers-confirmed</t>
        </is>
      </c>
    </row>
    <row r="61" ht="56" customHeight="1">
      <c r="A61" s="194" t="inlineStr">
        <is>
          <t>S57</t>
        </is>
      </c>
      <c r="B61" s="194" t="inlineStr">
        <is>
          <t>Dust extraction</t>
        </is>
      </c>
      <c r="C61" s="194" t="inlineStr">
        <is>
          <t>Record Power</t>
        </is>
      </c>
      <c r="D61" s="194" t="inlineStr">
        <is>
          <t>Manufacturer</t>
        </is>
      </c>
      <c r="E61" s="194" t="inlineStr">
        <is>
          <t>Carefully selected authorised dealer network and support requirements.</t>
        </is>
      </c>
      <c r="F61" s="194" t="inlineStr">
        <is>
          <t>High</t>
        </is>
      </c>
      <c r="G61" s="273" t="n">
        <v>46240</v>
      </c>
      <c r="H61" s="194" t="inlineStr">
        <is>
          <t>https://www.recordpower.co.uk/dealers</t>
        </is>
      </c>
    </row>
    <row r="62" ht="56" customHeight="1">
      <c r="A62" s="194" t="inlineStr">
        <is>
          <t>S58</t>
        </is>
      </c>
      <c r="B62" s="194" t="inlineStr">
        <is>
          <t>EVSE testing</t>
        </is>
      </c>
      <c r="C62" s="194" t="inlineStr">
        <is>
          <t>Tester.co.uk</t>
        </is>
      </c>
      <c r="D62" s="194" t="inlineStr">
        <is>
          <t>Retailer</t>
        </is>
      </c>
      <c r="E62" s="194" t="inlineStr">
        <is>
          <t>EVSE testing is a dedicated professional category; products start around £700 in the viewed range.</t>
        </is>
      </c>
      <c r="F62" s="194" t="inlineStr">
        <is>
          <t>High</t>
        </is>
      </c>
      <c r="G62" s="273" t="n">
        <v>46240</v>
      </c>
      <c r="H62" s="194" t="inlineStr">
        <is>
          <t>https://www.tester.co.uk/electrical-electronic/electric-vehicle-charging/evse-testers</t>
        </is>
      </c>
    </row>
    <row r="63" ht="56" customHeight="1">
      <c r="A63" s="194" t="inlineStr">
        <is>
          <t>S59</t>
        </is>
      </c>
      <c r="B63" s="194" t="inlineStr">
        <is>
          <t>Beekeeping</t>
        </is>
      </c>
      <c r="C63" s="194" t="inlineStr">
        <is>
          <t>British Beekeepers Association</t>
        </is>
      </c>
      <c r="D63" s="194" t="inlineStr">
        <is>
          <t>Association</t>
        </is>
      </c>
      <c r="E63" s="194" t="inlineStr">
        <is>
          <t>Represents roughly 30,000 hobby beekeepers.</t>
        </is>
      </c>
      <c r="F63" s="194" t="inlineStr">
        <is>
          <t>High</t>
        </is>
      </c>
      <c r="G63" s="273" t="n">
        <v>46240</v>
      </c>
      <c r="H63" s="194" t="inlineStr">
        <is>
          <t>https://www.bbka.org.uk/</t>
        </is>
      </c>
    </row>
    <row r="64" ht="56" customHeight="1">
      <c r="A64" s="194" t="inlineStr">
        <is>
          <t>S60</t>
        </is>
      </c>
      <c r="B64" s="194" t="inlineStr">
        <is>
          <t>Beekeeping</t>
        </is>
      </c>
      <c r="C64" s="194" t="inlineStr">
        <is>
          <t>Abelo</t>
        </is>
      </c>
      <c r="D64" s="194" t="inlineStr">
        <is>
          <t>Manufacturer/retailer</t>
        </is>
      </c>
      <c r="E64" s="194" t="inlineStr">
        <is>
          <t>Honey-extraction equipment from hundreds to several thousand pounds.</t>
        </is>
      </c>
      <c r="F64" s="194" t="inlineStr">
        <is>
          <t>High</t>
        </is>
      </c>
      <c r="G64" s="273" t="n">
        <v>46240</v>
      </c>
      <c r="H64" s="194" t="inlineStr">
        <is>
          <t>https://www.abelo.co.uk/welcome-to-abelo/general-honey-extractors/</t>
        </is>
      </c>
    </row>
    <row r="65" ht="56" customHeight="1">
      <c r="A65" s="194" t="inlineStr">
        <is>
          <t>S61</t>
        </is>
      </c>
      <c r="B65" s="194" t="inlineStr">
        <is>
          <t>Ecology</t>
        </is>
      </c>
      <c r="C65" s="194" t="inlineStr">
        <is>
          <t>Wildlife Acoustics</t>
        </is>
      </c>
      <c r="D65" s="194" t="inlineStr">
        <is>
          <t>Manufacturer</t>
        </is>
      </c>
      <c r="E65" s="194" t="inlineStr">
        <is>
          <t>Authorised reseller network and professional training.</t>
        </is>
      </c>
      <c r="F65" s="194" t="inlineStr">
        <is>
          <t>High</t>
        </is>
      </c>
      <c r="G65" s="273" t="n">
        <v>46240</v>
      </c>
      <c r="H65" s="194" t="inlineStr">
        <is>
          <t>https://www.wildlifeacoustics.com/resellers</t>
        </is>
      </c>
    </row>
    <row r="66" ht="56" customHeight="1">
      <c r="A66" s="194" t="inlineStr">
        <is>
          <t>S62</t>
        </is>
      </c>
      <c r="B66" s="194" t="inlineStr">
        <is>
          <t>Ecology</t>
        </is>
      </c>
      <c r="C66" s="194" t="inlineStr">
        <is>
          <t>UK Government</t>
        </is>
      </c>
      <c r="D66" s="194" t="inlineStr">
        <is>
          <t>Government</t>
        </is>
      </c>
      <c r="E66" s="194" t="inlineStr">
        <is>
          <t>10% biodiversity net gain became mandatory for major/minor developments in 2024.</t>
        </is>
      </c>
      <c r="F66" s="194" t="inlineStr">
        <is>
          <t>High</t>
        </is>
      </c>
      <c r="G66" s="273" t="n">
        <v>46240</v>
      </c>
      <c r="H66" s="194" t="inlineStr">
        <is>
          <t>https://www.gov.uk/government/publications/rpc-opinion-impact-of-biodiversity-gain-regulations-in-england/rpc-opinion-impact-of-biodiversity-gain-regulations-in-england--2</t>
        </is>
      </c>
    </row>
    <row r="67" ht="56" customHeight="1">
      <c r="A67" s="194" t="inlineStr">
        <is>
          <t>S63</t>
        </is>
      </c>
      <c r="B67" s="194" t="inlineStr">
        <is>
          <t>Sewing</t>
        </is>
      </c>
      <c r="C67" s="194" t="inlineStr">
        <is>
          <t>The Guardian</t>
        </is>
      </c>
      <c r="D67" s="194" t="inlineStr">
        <is>
          <t>News</t>
        </is>
      </c>
      <c r="E67" s="194" t="inlineStr">
        <is>
          <t>Liberty expanded fabric space 140%; reported fabric sales +11% and adult sewing participation rising from 15% to 20%.</t>
        </is>
      </c>
      <c r="F67" s="194" t="inlineStr">
        <is>
          <t>Medium</t>
        </is>
      </c>
      <c r="G67" s="273" t="n">
        <v>46240</v>
      </c>
      <c r="H67" s="194" t="inlineStr">
        <is>
          <t>https://www.theguardian.com/business/2026/jul/27/liberty-london-store-expands-fabrics-section-sewing-boom-craft-classes</t>
        </is>
      </c>
    </row>
    <row r="68" ht="56" customHeight="1">
      <c r="A68" s="194" t="inlineStr">
        <is>
          <t>S64</t>
        </is>
      </c>
      <c r="B68" s="194" t="inlineStr">
        <is>
          <t>Sewing</t>
        </is>
      </c>
      <c r="C68" s="194" t="inlineStr">
        <is>
          <t>Brother UK</t>
        </is>
      </c>
      <c r="D68" s="194" t="inlineStr">
        <is>
          <t>Manufacturer</t>
        </is>
      </c>
      <c r="E68" s="194" t="inlineStr">
        <is>
          <t>Formal partner programme and approved-dealer structure.</t>
        </is>
      </c>
      <c r="F68" s="194" t="inlineStr">
        <is>
          <t>High</t>
        </is>
      </c>
      <c r="G68" s="273" t="n">
        <v>46240</v>
      </c>
      <c r="H68" s="194" t="inlineStr">
        <is>
          <t>https://www.brother.co.uk/brother-partner-programme</t>
        </is>
      </c>
    </row>
    <row r="69" ht="56" customHeight="1">
      <c r="A69" s="194" t="inlineStr">
        <is>
          <t>S65</t>
        </is>
      </c>
      <c r="B69" s="194" t="inlineStr">
        <is>
          <t>Metal detecting</t>
        </is>
      </c>
      <c r="C69" s="194" t="inlineStr">
        <is>
          <t>Minelab UK</t>
        </is>
      </c>
      <c r="D69" s="194" t="inlineStr">
        <is>
          <t>Manufacturer DTC</t>
        </is>
      </c>
      <c r="E69" s="194" t="inlineStr">
        <is>
          <t>Direct UK presence plus dealer locator signals potential channel conflict.</t>
        </is>
      </c>
      <c r="F69" s="194" t="inlineStr">
        <is>
          <t>High</t>
        </is>
      </c>
      <c r="G69" s="273" t="n">
        <v>46240</v>
      </c>
      <c r="H69" s="194" t="inlineStr">
        <is>
          <t>https://uk.minelab.com/</t>
        </is>
      </c>
    </row>
    <row r="70" ht="56" customHeight="1">
      <c r="A70" s="194" t="inlineStr">
        <is>
          <t>S66</t>
        </is>
      </c>
      <c r="B70" s="194" t="inlineStr">
        <is>
          <t>Metal detecting</t>
        </is>
      </c>
      <c r="C70" s="194" t="inlineStr">
        <is>
          <t>LP Metal Detecting</t>
        </is>
      </c>
      <c r="D70" s="194" t="inlineStr">
        <is>
          <t>Distributor</t>
        </is>
      </c>
      <c r="E70" s="194" t="inlineStr">
        <is>
          <t>UK trade-enquiry route and established retail presence.</t>
        </is>
      </c>
      <c r="F70" s="194" t="inlineStr">
        <is>
          <t>High</t>
        </is>
      </c>
      <c r="G70" s="273" t="n">
        <v>46240</v>
      </c>
      <c r="H70" s="194" t="inlineStr">
        <is>
          <t>https://www.lpmetaldetecting.com/pages/trade-enquiries</t>
        </is>
      </c>
    </row>
    <row r="71" ht="56" customHeight="1">
      <c r="A71" s="194" t="inlineStr">
        <is>
          <t>S67</t>
        </is>
      </c>
      <c r="B71" s="194" t="inlineStr">
        <is>
          <t>Coffee roasting</t>
        </is>
      </c>
      <c r="C71" s="194" t="inlineStr">
        <is>
          <t>Kaffelogic</t>
        </is>
      </c>
      <c r="D71" s="194" t="inlineStr">
        <is>
          <t>Manufacturer</t>
        </is>
      </c>
      <c r="E71" s="194" t="inlineStr">
        <is>
          <t>Distributor list indicates UK distribution is already assigned.</t>
        </is>
      </c>
      <c r="F71" s="194" t="inlineStr">
        <is>
          <t>High</t>
        </is>
      </c>
      <c r="G71" s="273" t="n">
        <v>46240</v>
      </c>
      <c r="H71" s="194" t="inlineStr">
        <is>
          <t>https://www.kaffelogic.com/pages/distributors</t>
        </is>
      </c>
    </row>
    <row r="72" ht="56" customHeight="1">
      <c r="A72" s="194" t="inlineStr">
        <is>
          <t>S68</t>
        </is>
      </c>
      <c r="B72" s="194" t="inlineStr">
        <is>
          <t>Coffee roasting</t>
        </is>
      </c>
      <c r="C72" s="194" t="inlineStr">
        <is>
          <t>Aillio Roasters UK</t>
        </is>
      </c>
      <c r="D72" s="194" t="inlineStr">
        <is>
          <t>UK distributor</t>
        </is>
      </c>
      <c r="E72" s="194" t="inlineStr">
        <is>
          <t>Established UK premium roaster retailer with beans, spares and workshops.</t>
        </is>
      </c>
      <c r="F72" s="194" t="inlineStr">
        <is>
          <t>High</t>
        </is>
      </c>
      <c r="G72" s="273" t="n">
        <v>46240</v>
      </c>
      <c r="H72" s="194" t="inlineStr">
        <is>
          <t>https://www.aillioroasters.co.uk/</t>
        </is>
      </c>
    </row>
    <row r="73" ht="56" customHeight="1">
      <c r="A73" s="194" t="inlineStr">
        <is>
          <t>S69</t>
        </is>
      </c>
      <c r="B73" s="194" t="inlineStr">
        <is>
          <t>Dog mobility</t>
        </is>
      </c>
      <c r="C73" s="194" t="inlineStr">
        <is>
          <t>Wheels4Dogs</t>
        </is>
      </c>
      <c r="D73" s="194" t="inlineStr">
        <is>
          <t>UK importer</t>
        </is>
      </c>
      <c r="E73" s="194" t="inlineStr">
        <is>
          <t>Official UK Walkin' Wheels importer with carts roughly £249–£385.</t>
        </is>
      </c>
      <c r="F73" s="194" t="inlineStr">
        <is>
          <t>High</t>
        </is>
      </c>
      <c r="G73" s="273" t="n">
        <v>46240</v>
      </c>
      <c r="H73" s="194" t="inlineStr">
        <is>
          <t>https://wheels4dogs.co.uk/</t>
        </is>
      </c>
    </row>
    <row r="74" ht="56" customHeight="1">
      <c r="A74" s="194" t="inlineStr">
        <is>
          <t>S70</t>
        </is>
      </c>
      <c r="B74" s="194" t="inlineStr">
        <is>
          <t>Dog mobility</t>
        </is>
      </c>
      <c r="C74" s="194" t="inlineStr">
        <is>
          <t>Zoomadog</t>
        </is>
      </c>
      <c r="D74" s="194" t="inlineStr">
        <is>
          <t>UK competitor</t>
        </is>
      </c>
      <c r="E74" s="194" t="inlineStr">
        <is>
          <t>Established specialist dog rehabilitation/mobility retailer.</t>
        </is>
      </c>
      <c r="F74" s="194" t="inlineStr">
        <is>
          <t>High</t>
        </is>
      </c>
      <c r="G74" s="273" t="n">
        <v>46240</v>
      </c>
      <c r="H74" s="194" t="inlineStr">
        <is>
          <t>https://zoomadog.co.uk/</t>
        </is>
      </c>
    </row>
    <row r="75" ht="56" customHeight="1">
      <c r="A75" s="194" t="inlineStr">
        <is>
          <t>S71</t>
        </is>
      </c>
      <c r="B75" s="194" t="inlineStr">
        <is>
          <t>Irrigation</t>
        </is>
      </c>
      <c r="C75" s="194" t="inlineStr">
        <is>
          <t>Which?</t>
        </is>
      </c>
      <c r="D75" s="194" t="inlineStr">
        <is>
          <t>Consumer benchmark</t>
        </is>
      </c>
      <c r="E75" s="194" t="inlineStr">
        <is>
          <t>Typical garden irrigation kits around £50–£100, illustrating low AOV at the mass end.</t>
        </is>
      </c>
      <c r="F75" s="194" t="inlineStr">
        <is>
          <t>Medium</t>
        </is>
      </c>
      <c r="G75" s="273" t="n">
        <v>46240</v>
      </c>
      <c r="H75" s="194" t="inlineStr">
        <is>
          <t>https://www.which.co.uk/reviews/garden-equipment/article/best-garden-irrigation-system-aSVnn5F1Yf50</t>
        </is>
      </c>
    </row>
    <row r="76" ht="56" customHeight="1">
      <c r="A76" s="194" t="inlineStr">
        <is>
          <t>S72</t>
        </is>
      </c>
      <c r="B76" s="194" t="inlineStr">
        <is>
          <t>Irrigation</t>
        </is>
      </c>
      <c r="C76" s="194" t="inlineStr">
        <is>
          <t>Easy Garden Irrigation</t>
        </is>
      </c>
      <c r="D76" s="194" t="inlineStr">
        <is>
          <t>UK competitor</t>
        </is>
      </c>
      <c r="E76" s="194" t="inlineStr">
        <is>
          <t>Established specialist with deep kits/content and thousands of reviews.</t>
        </is>
      </c>
      <c r="F76" s="194" t="inlineStr">
        <is>
          <t>High</t>
        </is>
      </c>
      <c r="G76" s="273" t="n">
        <v>46240</v>
      </c>
      <c r="H76" s="194" t="inlineStr">
        <is>
          <t>https://www.easygardenirrigation.co.uk/</t>
        </is>
      </c>
    </row>
    <row r="77" ht="56" customHeight="1">
      <c r="A77" s="194" t="inlineStr">
        <is>
          <t>S73</t>
        </is>
      </c>
      <c r="B77" s="194" t="inlineStr">
        <is>
          <t>Rainwater</t>
        </is>
      </c>
      <c r="C77" s="194" t="inlineStr">
        <is>
          <t>Environment Agency</t>
        </is>
      </c>
      <c r="D77" s="194" t="inlineStr">
        <is>
          <t>Government</t>
        </is>
      </c>
      <c r="E77" s="194" t="inlineStr">
        <is>
          <t>Latest dry-weather/drought reporting confirms ongoing 2026 water-resource pressure.</t>
        </is>
      </c>
      <c r="F77" s="194" t="inlineStr">
        <is>
          <t>High</t>
        </is>
      </c>
      <c r="G77" s="273" t="n">
        <v>46240</v>
      </c>
      <c r="H77" s="194" t="inlineStr">
        <is>
          <t>https://www.gov.uk/government/publications/dry-weather-and-drought-in-england-2026-summary-reports/dry-weather-and-drought-in-england-24-to-30-july-2026</t>
        </is>
      </c>
    </row>
    <row r="78" ht="56" customHeight="1">
      <c r="A78" s="194" t="inlineStr">
        <is>
          <t>S74</t>
        </is>
      </c>
      <c r="B78" s="194" t="inlineStr">
        <is>
          <t>Pool robots</t>
        </is>
      </c>
      <c r="C78" s="194" t="inlineStr">
        <is>
          <t>Lighthouse Pools</t>
        </is>
      </c>
      <c r="D78" s="194" t="inlineStr">
        <is>
          <t>UK distributor</t>
        </is>
      </c>
      <c r="E78" s="194" t="inlineStr">
        <is>
          <t>UK distributor for premium automatic pool-cleaner ranges.</t>
        </is>
      </c>
      <c r="F78" s="194" t="inlineStr">
        <is>
          <t>High</t>
        </is>
      </c>
      <c r="G78" s="273" t="n">
        <v>46240</v>
      </c>
      <c r="H78" s="194" t="inlineStr">
        <is>
          <t>https://www.lighthousepools.co.uk/pool-cleaners</t>
        </is>
      </c>
    </row>
    <row r="79" ht="56" customHeight="1">
      <c r="A79" s="194" t="inlineStr">
        <is>
          <t>S75</t>
        </is>
      </c>
      <c r="B79" s="194" t="inlineStr">
        <is>
          <t>Golf simulator</t>
        </is>
      </c>
      <c r="C79" s="194" t="inlineStr">
        <is>
          <t>Tekden</t>
        </is>
      </c>
      <c r="D79" s="194" t="inlineStr">
        <is>
          <t>UK secondary</t>
        </is>
      </c>
      <c r="E79" s="194" t="inlineStr">
        <is>
          <t>2026 UK system pricing: about £1.5k–£3k DIY, £5k–£15k mid-market and £15k+ premium.</t>
        </is>
      </c>
      <c r="F79" s="194" t="inlineStr">
        <is>
          <t>Medium</t>
        </is>
      </c>
      <c r="G79" s="273" t="n">
        <v>46240</v>
      </c>
      <c r="H79" s="194" t="inlineStr">
        <is>
          <t>https://tekden.co.uk/golf-simulator-cost-uk/</t>
        </is>
      </c>
    </row>
    <row r="80" ht="56" customHeight="1">
      <c r="A80" s="194" t="inlineStr">
        <is>
          <t>S76</t>
        </is>
      </c>
      <c r="B80" s="194" t="inlineStr">
        <is>
          <t>Golf simulator</t>
        </is>
      </c>
      <c r="C80" s="194" t="inlineStr">
        <is>
          <t>Global Market Insights</t>
        </is>
      </c>
      <c r="D80" s="194" t="inlineStr">
        <is>
          <t>Commercial market report</t>
        </is>
      </c>
      <c r="E80" s="194" t="inlineStr">
        <is>
          <t>Estimates global launch-monitor market growth; directional only.</t>
        </is>
      </c>
      <c r="F80" s="194" t="inlineStr">
        <is>
          <t>Low</t>
        </is>
      </c>
      <c r="G80" s="273" t="n">
        <v>46240</v>
      </c>
      <c r="H80" s="194" t="inlineStr">
        <is>
          <t>https://www.gminsights.com/industry-analysis/golf-launch-monitor-market</t>
        </is>
      </c>
    </row>
    <row r="81" ht="56" customHeight="1">
      <c r="A81" s="194" t="inlineStr">
        <is>
          <t>S77</t>
        </is>
      </c>
      <c r="B81" s="194" t="inlineStr">
        <is>
          <t>Cold plunge</t>
        </is>
      </c>
      <c r="C81" s="194" t="inlineStr">
        <is>
          <t>Grand View Research</t>
        </is>
      </c>
      <c r="D81" s="194" t="inlineStr">
        <is>
          <t>Commercial market report</t>
        </is>
      </c>
      <c r="E81" s="194" t="inlineStr">
        <is>
          <t>Estimates global cold-plunge market growth; trend evidence only, not UK demand.</t>
        </is>
      </c>
      <c r="F81" s="194" t="inlineStr">
        <is>
          <t>Low</t>
        </is>
      </c>
      <c r="G81" s="273" t="n">
        <v>46240</v>
      </c>
      <c r="H81" s="194" t="inlineStr">
        <is>
          <t>https://www.grandviewresearch.com/industry-analysis/cold-plunge-tub-market-report</t>
        </is>
      </c>
    </row>
    <row r="82" ht="56" customHeight="1">
      <c r="A82" s="194" t="inlineStr">
        <is>
          <t>S78</t>
        </is>
      </c>
      <c r="B82" s="194" t="inlineStr">
        <is>
          <t>Dust extraction</t>
        </is>
      </c>
      <c r="C82" s="194" t="inlineStr">
        <is>
          <t>Axminster Tools</t>
        </is>
      </c>
      <c r="D82" s="194" t="inlineStr">
        <is>
          <t>UK competitor</t>
        </is>
      </c>
      <c r="E82" s="194" t="inlineStr">
        <is>
          <t>Large incumbent machinery/dust-extraction category.</t>
        </is>
      </c>
      <c r="F82" s="194" t="inlineStr">
        <is>
          <t>High</t>
        </is>
      </c>
      <c r="G82" s="273" t="n">
        <v>46240</v>
      </c>
      <c r="H82" s="194" t="inlineStr">
        <is>
          <t>https://www.axminstertools.com/machinery/dust-extractors</t>
        </is>
      </c>
    </row>
    <row r="83" ht="56" customHeight="1">
      <c r="A83" s="194" t="inlineStr">
        <is>
          <t>S79</t>
        </is>
      </c>
      <c r="B83" s="194" t="inlineStr">
        <is>
          <t>Ecology</t>
        </is>
      </c>
      <c r="C83" s="194" t="inlineStr">
        <is>
          <t>NHBS</t>
        </is>
      </c>
      <c r="D83" s="194" t="inlineStr">
        <is>
          <t>UK competitor</t>
        </is>
      </c>
      <c r="E83" s="194" t="inlineStr">
        <is>
          <t>Deep professional bat-detector catalogue and specialist support.</t>
        </is>
      </c>
      <c r="F83" s="194" t="inlineStr">
        <is>
          <t>High</t>
        </is>
      </c>
      <c r="G83" s="273" t="n">
        <v>46240</v>
      </c>
      <c r="H83" s="194" t="inlineStr">
        <is>
          <t>https://www.nhbs.com/1/all-bat-detectors</t>
        </is>
      </c>
    </row>
    <row r="84" ht="56" customHeight="1">
      <c r="A84" s="194" t="inlineStr">
        <is>
          <t>S80</t>
        </is>
      </c>
      <c r="B84" s="194" t="inlineStr">
        <is>
          <t>Freeze dryers</t>
        </is>
      </c>
      <c r="C84" s="194" t="inlineStr">
        <is>
          <t>Harvest Right</t>
        </is>
      </c>
      <c r="D84" s="194" t="inlineStr">
        <is>
          <t>Manufacturer DTC</t>
        </is>
      </c>
      <c r="E84" s="194" t="inlineStr">
        <is>
          <t>Manufacturer advertises direct pricing and dealer/affiliate route—channel dependency risk.</t>
        </is>
      </c>
      <c r="F84" s="194" t="inlineStr">
        <is>
          <t>High</t>
        </is>
      </c>
      <c r="G84" s="273" t="n">
        <v>46240</v>
      </c>
      <c r="H84" s="194" t="inlineStr">
        <is>
          <t>https://harvestright.com/</t>
        </is>
      </c>
    </row>
  </sheetData>
  <mergeCells count="2">
    <mergeCell ref="A2:H2"/>
    <mergeCell ref="A1:H1"/>
  </mergeCells>
  <conditionalFormatting sqref="F5:F84">
    <cfRule type="containsText" priority="1" operator="containsText" dxfId="0" text="Low"/>
    <cfRule type="containsText" priority="2" operator="containsText" dxfId="1" text="High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42" customWidth="1" min="3" max="3"/>
    <col width="40" customWidth="1" min="4" max="4"/>
    <col width="30" customWidth="1" min="5" max="5"/>
    <col width="55" customWidth="1" min="6" max="6"/>
  </cols>
  <sheetData>
    <row r="1">
      <c r="A1" s="274" t="inlineStr">
        <is>
          <t>Live SERP Cross-Check (Sabroso) — every verdict from live Google UK page 1, August 2026</t>
        </is>
      </c>
    </row>
    <row r="2">
      <c r="A2" s="275" t="inlineStr">
        <is>
          <t>Method: the partner's supplier-defensibility gate is correct and kept. What it needed was live page-1 evidence instead of desk-judged 'competition gap' scores. Verdict key: OCCUPIED = 3-4+ dedicated retail options on page 1 (pricing battle); CHANNEL CONFLICT = manufacturers/brands selling direct on page 1 (the pack's own hard stop); MIS-SERVED = Google substitutes services/info/wrong products because nobody sells the searched-for thing.</t>
        </is>
      </c>
    </row>
    <row r="4">
      <c r="A4" s="276" t="inlineStr">
        <is>
          <t>Opportunity</t>
        </is>
      </c>
      <c r="B4" s="276" t="inlineStr">
        <is>
          <t>Partner decision</t>
        </is>
      </c>
      <c r="C4" s="276" t="inlineStr">
        <is>
          <t>Live page-1 verdict</t>
        </is>
      </c>
      <c r="D4" s="276" t="inlineStr">
        <is>
          <t>Channel conflict on page 1?</t>
        </is>
      </c>
      <c r="E4" s="276" t="inlineStr">
        <is>
          <t>Revised decision</t>
        </is>
      </c>
      <c r="F4" s="276" t="inlineStr">
        <is>
          <t>Evidence (live, deduped)</t>
        </is>
      </c>
    </row>
    <row r="5">
      <c r="A5" s="277" t="inlineStr">
        <is>
          <t>Rainwater &amp; drought-resilience systems</t>
        </is>
      </c>
      <c r="B5" s="278" t="inlineStr">
        <is>
          <t>Priority 1 (83, PASS)</t>
        </is>
      </c>
      <c r="C5" s="278" t="inlineStr">
        <is>
          <t>OCCUPIED — 5+ dedicated specialists with transactional pages</t>
        </is>
      </c>
      <c r="D5" s="278" t="inlineStr">
        <is>
          <t>YES — rainwaterharvesting.co.uk (manufacturer) at #1; Rainharvesting Systems also direct; Owls Hall supplies + installs</t>
        </is>
      </c>
      <c r="E5" s="277" t="inlineStr">
        <is>
          <t>REJECT under the pack's own hard stop</t>
        </is>
      </c>
      <c r="F5" s="278" t="inlineStr">
        <is>
          <t>rainwaterharvesting.co.uk, Owls Hall, Tanks Direct (£187-£4,291), Rainharvesting Systems, Celtic Sustainables, Direct Water Tanks (£342 kit), Sumps &amp; Pumps (£4,761)</t>
        </is>
      </c>
    </row>
    <row r="6">
      <c r="A6" s="277" t="inlineStr">
        <is>
          <t>Performance acoustic room kits</t>
        </is>
      </c>
      <c r="B6" s="278" t="inlineStr">
        <is>
          <t>Priority 2 (81.6, PASS)</t>
        </is>
      </c>
      <c r="C6" s="278" t="inlineStr">
        <is>
          <t>OCCUPIED — 'room kit' is a named category at 5+ sellers; every price tier covered (£57-£1,300)</t>
        </is>
      </c>
      <c r="D6" s="278" t="inlineStr">
        <is>
          <t>YES, SEVERE — the category is defined by manufacturers selling direct: GIK Acoustics #1 on both queries, Primacoustic, Skum, Advanced Acoustics, GB Foam. A reseller competes with its own suppliers everywhere</t>
        </is>
      </c>
      <c r="E6" s="277" t="inlineStr">
        <is>
          <t>REJECT — hardest channel conflict of the ten</t>
        </is>
      </c>
      <c r="F6" s="278" t="inlineStr">
        <is>
          <t>GIK (Room Kits £849), Polar/Primacoustic (£1,159), Skum (£254-894), Andertons category, Gear4music, Advanced Acoustics (£108-255), GB Foam (£57)</t>
        </is>
      </c>
    </row>
    <row r="7">
      <c r="A7" s="277" t="inlineStr">
        <is>
          <t>Sensory-room packages</t>
        </is>
      </c>
      <c r="B7" s="278" t="inlineStr">
        <is>
          <t>Priority 3 (79.6, PASS)</t>
        </is>
      </c>
      <c r="C7" s="278" t="inlineStr">
        <is>
          <t>OCCUPIED — 8-10 dedicated specialists; fully transactional retail SERP with carted packages to £10.6k (not quote-led as assumed)</t>
        </is>
      </c>
      <c r="D7" s="278" t="inlineStr">
        <is>
          <t>YES — Experia (manufacturer) and TFH sell packages direct; Rhino UK sells design+install</t>
        </is>
      </c>
      <c r="E7" s="277" t="inlineStr">
        <is>
          <t>REJECT</t>
        </is>
      </c>
      <c r="F7" s="278" t="inlineStr">
        <is>
          <t>Sensory Direct (1.8k reviews), TTS (£2,098 bundle), SpaceKraft, Rhino UK, Experia, TFH (£5,427 package), Sensory Toy Warehouse (£280-£10,617), Sense Sensory (£6,995), SenTeq (£1,825)</t>
        </is>
      </c>
    </row>
    <row r="8">
      <c r="A8" s="277" t="inlineStr">
        <is>
          <t>Separating &amp; composting toilet systems</t>
        </is>
      </c>
      <c r="B8" s="278" t="inlineStr">
        <is>
          <t>Priority 4 (78.8, PASS)</t>
        </is>
      </c>
      <c r="C8" s="278" t="inlineStr">
        <is>
          <t>OCCUPIED — specialists and brand stores hold both SERPs incl. the campervan query</t>
        </is>
      </c>
      <c r="D8" s="278" t="inlineStr">
        <is>
          <t>YES, STRUCTURAL — five brands sell direct on page 1 (TROBOLO, Trelino, BOXIO, CompoCloset, NatSol) including the exact brands a reseller would stock; WooWoo is the incumbent multi-brand retailer</t>
        </is>
      </c>
      <c r="E8" s="277" t="inlineStr">
        <is>
          <t>REJECT</t>
        </is>
      </c>
      <c r="F8" s="278" t="inlineStr">
        <is>
          <t>WooWoo #1, TROBOLO, Trelino, BOXIO (£149.90), CompoCloset (Cuddy £870, #1 campervan), NatSol, Free Ranging Designs, LPG Shop</t>
        </is>
      </c>
    </row>
    <row r="9">
      <c r="A9" s="277" t="inlineStr">
        <is>
          <t>Pond-health &amp; filtration systems</t>
        </is>
      </c>
      <c r="B9" s="278" t="inlineStr">
        <is>
          <t>Supplier DD (75.8)</t>
        </is>
      </c>
      <c r="C9" s="278" t="inlineStr">
        <is>
          <t>OCCUPIED — 6-7 pond/koi specialists plus Amazon</t>
        </is>
      </c>
      <c r="D9" s="278" t="inlineStr">
        <is>
          <t>YES — Evolution Aqua (the premium koi filtration manufacturer, exactly the £850-3k bundle territory) ranks selling direct; Blagdon too</t>
        </is>
      </c>
      <c r="E9" s="277" t="inlineStr">
        <is>
          <t>REJECT</t>
        </is>
      </c>
      <c r="F9" s="278" t="inlineStr">
        <is>
          <t>All Pond Solutions (#1-2 + own Amazon store), Bradshaws, Absolute Koi, Evolution Aqua, World of Water, Swell, Pondkeeper, PowerBee, Blagdon</t>
        </is>
      </c>
    </row>
    <row r="10">
      <c r="A10" s="277" t="inlineStr">
        <is>
          <t>Microcement installer systems</t>
        </is>
      </c>
      <c r="B10" s="278" t="inlineStr">
        <is>
          <t>Supplier DD (72.5)</t>
        </is>
      </c>
      <c r="C10" s="278" t="inlineStr">
        <is>
          <t>OCCUPIED — 8+ specialists/system brands; the 'restricted to trained installers' premise is false: brands sell DIY kits openly</t>
        </is>
      </c>
      <c r="D10" s="278" t="inlineStr">
        <is>
          <t>YES, SEVERE — 5 manufacturers sell direct on page 1 (Smartcret, Topciment, Festfloor, Epodex from £79.99, CARRcrete)</t>
        </is>
      </c>
      <c r="E10" s="277" t="inlineStr">
        <is>
          <t>REJECT</t>
        </is>
      </c>
      <c r="F10" s="278" t="inlineStr">
        <is>
          <t>Concrete Lab, Hawk &amp; Trowel (#1 supplier), Smartcret, Relentless, Festfloor, Microcement Shop, MicrocementPro, Forcrete, CARRcrete, Topciment, Epodex, Stucco Veneziano + Amazon</t>
        </is>
      </c>
    </row>
    <row r="11">
      <c r="A11" s="277" t="inlineStr">
        <is>
          <t>Golf simulator components &amp; rooms</t>
        </is>
      </c>
      <c r="B11" s="278" t="inlineStr">
        <is>
          <t>Supplier DD (71.3)</t>
        </is>
      </c>
      <c r="C11" s="278" t="inlineStr">
        <is>
          <t>OCCUPIED (checked in our round 5) — 6+ UK specialists; GolfBays SimBox stocked by four retailers on page 1; Carl's Place import window closed</t>
        </is>
      </c>
      <c r="D11" s="278" t="inlineStr">
        <is>
          <t>Partial — GolfBays own-brand dominates via dealers</t>
        </is>
      </c>
      <c r="E11" s="277" t="inlineStr">
        <is>
          <t>REJECT (also flags conflict with the golfweights client relationship, as the pack itself noted)</t>
        </is>
      </c>
      <c r="F11" s="278" t="inlineStr">
        <is>
          <t>Inswing, Tekden, Golf Swing Systems, GolfBays, SimSpace, Huck Nets + four SimBox resellers</t>
        </is>
      </c>
    </row>
    <row r="12">
      <c r="A12" s="279" t="inlineStr">
        <is>
          <t>Building diagnostic kits</t>
        </is>
      </c>
      <c r="B12" s="280" t="inlineStr">
        <is>
          <t>Supplier DD (70.3, ranked #10)</t>
        </is>
      </c>
      <c r="C12" s="280" t="inlineStr">
        <is>
          <t>MIS-SERVED at the bundle level — component damp-meter retail is occupied (4 dealers) but nobody owns the curated £1k-3.5k kit intent, and the thermal query is answered entirely by survey SERVICES, RICS PDFs and forums: Google serves 'get a survey done', not 'buy the kit'</t>
        </is>
      </c>
      <c r="D12" s="280" t="inlineStr">
        <is>
          <t>MILD, no hard stop — Protimeter ranks with content only, not selling; FLIR routes via dealers (Tester.co.uk). Dealer margin economics to check, not a page-1 conflict</t>
        </is>
      </c>
      <c r="E12" s="279" t="inlineStr">
        <is>
          <t>PROMOTE — the pack's only survivor. £300 ad test on kit terms + dealer-terms calls to FLIR/Protimeter channels before stock</t>
        </is>
      </c>
      <c r="F12" s="280" t="inlineStr">
        <is>
          <t>One Point Survey, PAM Ties, Toner Damp Proofing, York Survey (components); thermal query: RICS, Tester.co.uk advice content, five survey services, NHBC PDF, Reddit</t>
        </is>
      </c>
    </row>
    <row r="13">
      <c r="A13" s="277" t="inlineStr">
        <is>
          <t>Cold-plunge &amp; contrast therapy</t>
        </is>
      </c>
      <c r="B13" s="278" t="inlineStr">
        <is>
          <t>Supplier DD (66.5 watchlist)</t>
        </is>
      </c>
      <c r="C13" s="278" t="inlineStr">
        <is>
          <t>OCCUPIED — 8-10 dedicated UK sellers; the category IS brand-direct D2C now (£189-£15,750, core £849-£5,430); Amazon strong</t>
        </is>
      </c>
      <c r="D13" s="278" t="inlineStr">
        <is>
          <t>YES, STRUCTURAL — MyoMaster, LUMI, Polar Recovery, Brass Monkey, Kirami all own-brand and sell direct; no retail middle layer left</t>
        </is>
      </c>
      <c r="E13" s="277" t="inlineStr">
        <is>
          <t>REJECT — the pack's fad-risk caution was right; also KD 55 on 'cold plunge', the hardest keyword difficulty in this whole project</t>
        </is>
      </c>
      <c r="F13" s="278" t="inlineStr">
        <is>
          <t>LUMI, Kirami (£4,841+), Polar Recovery, MyoMaster (£849-950), Keico, Palm Spas, Concept Spa, Heavenly Hot Tubs, Eden Hut (£1,680), Outdoor Living, Celtic Timber (£885) + Amazon</t>
        </is>
      </c>
    </row>
    <row r="14">
      <c r="A14" s="277" t="inlineStr">
        <is>
          <t>Premium freediving equipment</t>
        </is>
      </c>
      <c r="B14" s="278" t="inlineStr">
        <is>
          <t>No-go until supplier solved</t>
        </is>
      </c>
      <c r="C14" s="278" t="inlineStr">
        <is>
          <t>NO-GO CONFIRMED — five dedicated specialists holding seven organic slots (two hold doubles: the signature of an entrenched SERP) plus Decathlon, Amazon, eBay</t>
        </is>
      </c>
      <c r="D14" s="278" t="inlineStr">
        <is>
          <t>Partial — FreediverShop (Leaderfins' own channel) dominates premium shopping units</t>
        </is>
      </c>
      <c r="E14" s="277" t="inlineStr">
        <is>
          <t>NO-GO STANDS — the pack called this correctly</t>
        </is>
      </c>
      <c r="F14" s="278" t="inlineStr">
        <is>
          <t>Spearfishing UK (x2), Fins4U (x2), Start Point, Decathlon, Mike's Dive Store; carbon fins £125-270</t>
        </is>
      </c>
    </row>
    <row r="16">
      <c r="A16" s="281" t="inlineStr">
        <is>
          <t>Reciprocal check: the partner's supplier gate applied to OUR current top three (from the executive report)</t>
        </is>
      </c>
    </row>
    <row r="17">
      <c r="A17" t="inlineStr">
        <is>
          <t>Fire pit replacement bowls</t>
        </is>
      </c>
      <c r="B17" t="inlineStr"/>
      <c r="C17" t="inlineStr">
        <is>
          <t>PASSES the supplier gate — metal spinners (Excell, Steel Spinnings, Tanfield) are trade fabricators with no D2C ambition or consumer channel; no conflict path visible.</t>
        </is>
      </c>
    </row>
    <row r="18">
      <c r="A18" s="282" t="n"/>
      <c r="B18" s="283" t="n"/>
      <c r="C18" s="284" t="n"/>
      <c r="D18" s="283" t="n"/>
      <c r="E18" s="283" t="n"/>
      <c r="F18" s="283" t="n"/>
    </row>
    <row r="19">
      <c r="A19" s="282" t="inlineStr">
        <is>
          <t>Natural swimming pond kits</t>
        </is>
      </c>
      <c r="B19" s="283" t="inlineStr"/>
      <c r="C19" s="284" t="inlineStr">
        <is>
          <t>CONDITIONAL — Gordon Low sells liners direct to consumers, so the liner SKU alone has conflict risk. Differentiation must be the assembled kit (liner + filtration + plants + plan); get written terms on kit pricing before building.</t>
        </is>
      </c>
      <c r="D19" s="283" t="n"/>
      <c r="E19" s="283" t="n"/>
      <c r="F19" s="283" t="n"/>
    </row>
    <row r="20">
      <c r="A20" s="282" t="inlineStr">
        <is>
          <t>Garden putting green DIY kits</t>
        </is>
      </c>
      <c r="B20" s="283" t="inlineStr"/>
      <c r="C20" s="284" t="inlineStr">
        <is>
          <t>CONDITIONAL — Nomow/Namgrass run consumer turf channels, so a raw-turf reseller would be undercut. Mitigation: own-brand kit SKU with a second turf source (TigerTurf), per the pack's ≥60% protected-revenue rule.</t>
        </is>
      </c>
      <c r="D20" s="283" t="n"/>
      <c r="E20" s="283" t="n"/>
      <c r="F20" s="28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2026-08-07T08:17:16Z</dcterms:created>
  <dcterms:modified xsi:type="dcterms:W3CDTF">2026-08-07T08:17:16Z</dcterms:modified>
</cp:coreProperties>
</file>