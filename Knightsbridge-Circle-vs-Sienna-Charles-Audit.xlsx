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ad Me" sheetId="1" state="visible" r:id="rId1"/>
    <sheet name="Headline" sheetId="2" state="visible" r:id="rId2"/>
    <sheet name="Traffic History" sheetId="3" state="visible" r:id="rId3"/>
    <sheet name="Head-to-Head Demand" sheetId="4" state="visible" r:id="rId4"/>
    <sheet name="Market Expansion" sheetId="5" state="visible" r:id="rId5"/>
    <sheet name="Sector Opportunities" sheetId="6" state="visible" r:id="rId6"/>
    <sheet name="KC Organic US" sheetId="7" state="visible" r:id="rId7"/>
    <sheet name="KC Organic GB" sheetId="8" state="visible" r:id="rId8"/>
    <sheet name="SC Organic US" sheetId="9" state="visible" r:id="rId9"/>
    <sheet name="SC Organic GB" sheetId="10" state="visible" r:id="rId10"/>
    <sheet name="SC Site Structure" sheetId="11" state="visible" r:id="rId11"/>
    <sheet name="Live SERPs" sheetId="12" state="visible" r:id="rId12"/>
    <sheet name="KC Page Audit" sheetId="13" state="visible" r:id="rId13"/>
    <sheet name="Backlinks" sheetId="14" state="visible" r:id="rId14"/>
    <sheet name="Organic Competitors" sheetId="15" state="visible" r:id="rId15"/>
    <sheet name="AI Visibility" sheetId="16" state="visible" r:id="rId16"/>
    <sheet name="LinkedIn" sheetId="17" state="visible" r:id="rId17"/>
    <sheet name="Recommendations" sheetId="18" state="visible" r:id="rId18"/>
    <sheet name="Data Requests" sheetId="19" state="visible" r:id="rId19"/>
  </sheets>
  <definedNames>
    <definedName name="_xlnm._FilterDatabase" localSheetId="1" hidden="1">'Headline'!$A$1:$D$30</definedName>
    <definedName name="_xlnm._FilterDatabase" localSheetId="2" hidden="1">'Traffic History'!$A$1:$E$26</definedName>
    <definedName name="_xlnm._FilterDatabase" localSheetId="3" hidden="1">'Head-to-Head Demand'!$A$2:$M$73</definedName>
    <definedName name="_xlnm._FilterDatabase" localSheetId="4" hidden="1">'Market Expansion'!$A$2:$E$24</definedName>
    <definedName name="_xlnm._FilterDatabase" localSheetId="5" hidden="1">'Sector Opportunities'!$A$2:$D$11</definedName>
    <definedName name="_xlnm._FilterDatabase" localSheetId="6" hidden="1">'KC Organic US'!$A$2:$F$43</definedName>
    <definedName name="_xlnm._FilterDatabase" localSheetId="7" hidden="1">'KC Organic GB'!$A$2:$F$33</definedName>
    <definedName name="_xlnm._FilterDatabase" localSheetId="8" hidden="1">'SC Organic US'!$A$2:$F$52</definedName>
    <definedName name="_xlnm._FilterDatabase" localSheetId="9" hidden="1">'SC Organic GB'!$A$2:$F$10</definedName>
    <definedName name="_xlnm._FilterDatabase" localSheetId="10" hidden="1">'SC Site Structure'!$A$2:$F$36</definedName>
    <definedName name="_xlnm._FilterDatabase" localSheetId="11" hidden="1">'Live SERPs'!$A$2:$F$10</definedName>
    <definedName name="_xlnm._FilterDatabase" localSheetId="12" hidden="1">'KC Page Audit'!$A$2:$P$35</definedName>
    <definedName name="_xlnm._FilterDatabase" localSheetId="13" hidden="1">'Backlinks'!$A$2:$E$61</definedName>
    <definedName name="_xlnm._FilterDatabase" localSheetId="14" hidden="1">'Organic Competitors'!$A$2:$F$26</definedName>
    <definedName name="_xlnm._FilterDatabase" localSheetId="16" hidden="1">'LinkedIn'!$A$2:$D$9</definedName>
    <definedName name="_xlnm._FilterDatabase" localSheetId="17" hidden="1">'Recommendations'!$A$1:$G$13</definedName>
    <definedName name="_xlnm._FilterDatabase" localSheetId="18" hidden="1">'Data Requests'!$A$1:$D$11</definedName>
  </definedNames>
  <calcPr calcId="124519" fullCalcOnLoad="1"/>
</workbook>
</file>

<file path=xl/styles.xml><?xml version="1.0" encoding="utf-8"?>
<styleSheet xmlns="http://schemas.openxmlformats.org/spreadsheetml/2006/main">
  <numFmts count="2">
    <numFmt numFmtId="164" formatCode="#,##0.#"/>
    <numFmt numFmtId="165" formatCode="0.0"/>
  </numFmts>
  <fonts count="5">
    <font>
      <name val="Calibri"/>
      <family val="2"/>
      <color theme="1"/>
      <sz val="11"/>
      <scheme val="minor"/>
    </font>
    <font>
      <name val="Arial"/>
      <b val="1"/>
      <sz val="10"/>
    </font>
    <font>
      <name val="Arial"/>
      <sz val="10"/>
    </font>
    <font>
      <name val="Arial"/>
      <i val="1"/>
      <color rgb="00555555"/>
      <sz val="9"/>
    </font>
    <font>
      <name val="Arial"/>
      <b val="1"/>
      <color rgb="00FFFFFF"/>
      <sz val="10"/>
    </font>
  </fonts>
  <fills count="6">
    <fill>
      <patternFill/>
    </fill>
    <fill>
      <patternFill patternType="gray125"/>
    </fill>
    <fill>
      <patternFill patternType="solid">
        <fgColor rgb="001F2A44"/>
      </patternFill>
    </fill>
    <fill>
      <patternFill patternType="solid">
        <fgColor rgb="00FCE4D6"/>
      </patternFill>
    </fill>
    <fill>
      <patternFill patternType="solid">
        <fgColor rgb="00E2EFDA"/>
      </patternFill>
    </fill>
    <fill>
      <patternFill patternType="solid">
        <fgColor rgb="00FFF2C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23">
    <xf numFmtId="0" fontId="0" fillId="0" borderId="0" pivotButton="0" quotePrefix="0" xfId="0"/>
    <xf numFmtId="0" fontId="1" fillId="0" borderId="0" applyAlignment="1" pivotButton="0" quotePrefix="0" xfId="0">
      <alignment vertical="top" wrapText="1"/>
    </xf>
    <xf numFmtId="0" fontId="2" fillId="0" borderId="0" applyAlignment="1" pivotButton="0" quotePrefix="0" xfId="0">
      <alignment vertical="top" wrapText="1"/>
    </xf>
    <xf numFmtId="0" fontId="3" fillId="0" borderId="0" applyAlignment="1" pivotButton="0" quotePrefix="0" xfId="0">
      <alignment vertical="top" wrapText="1"/>
    </xf>
    <xf numFmtId="0" fontId="4" fillId="2" borderId="1" applyAlignment="1" pivotButton="0" quotePrefix="0" xfId="0">
      <alignment vertical="top" wrapText="1"/>
    </xf>
    <xf numFmtId="0" fontId="2" fillId="0" borderId="1" applyAlignment="1" pivotButton="0" quotePrefix="0" xfId="0">
      <alignment vertical="top" wrapText="1"/>
    </xf>
    <xf numFmtId="164" fontId="2" fillId="3" borderId="1" applyAlignment="1" pivotButton="0" quotePrefix="0" xfId="0">
      <alignment vertical="top" wrapText="1"/>
    </xf>
    <xf numFmtId="164" fontId="2" fillId="4" borderId="1" applyAlignment="1" pivotButton="0" quotePrefix="0" xfId="0">
      <alignment vertical="top" wrapText="1"/>
    </xf>
    <xf numFmtId="0" fontId="1" fillId="0" borderId="0" pivotButton="0" quotePrefix="0" xfId="0"/>
    <xf numFmtId="2" fontId="0" fillId="0" borderId="0" pivotButton="0" quotePrefix="0" xfId="0"/>
    <xf numFmtId="0" fontId="3" fillId="0" borderId="0" pivotButton="0" quotePrefix="0" xfId="0"/>
    <xf numFmtId="3" fontId="2" fillId="0" borderId="1" applyAlignment="1" pivotButton="0" quotePrefix="0" xfId="0">
      <alignment vertical="top" wrapText="1"/>
    </xf>
    <xf numFmtId="9" fontId="0" fillId="0" borderId="0" pivotButton="0" quotePrefix="0" xfId="0"/>
    <xf numFmtId="2" fontId="2" fillId="0" borderId="1" applyAlignment="1" pivotButton="0" quotePrefix="0" xfId="0">
      <alignment vertical="top" wrapText="1"/>
    </xf>
    <xf numFmtId="0" fontId="2" fillId="5" borderId="1" applyAlignment="1" pivotButton="0" quotePrefix="0" xfId="0">
      <alignment vertical="top" wrapText="1"/>
    </xf>
    <xf numFmtId="3" fontId="2" fillId="5" borderId="1" applyAlignment="1" pivotButton="0" quotePrefix="0" xfId="0">
      <alignment vertical="top" wrapText="1"/>
    </xf>
    <xf numFmtId="2" fontId="2" fillId="5" borderId="1" applyAlignment="1" pivotButton="0" quotePrefix="0" xfId="0">
      <alignment vertical="top" wrapText="1"/>
    </xf>
    <xf numFmtId="3" fontId="0" fillId="0" borderId="0" pivotButton="0" quotePrefix="0" xfId="0"/>
    <xf numFmtId="0" fontId="4" fillId="2" borderId="1" pivotButton="0" quotePrefix="0" xfId="0"/>
    <xf numFmtId="0" fontId="2" fillId="0" borderId="1" pivotButton="0" quotePrefix="0" xfId="0"/>
    <xf numFmtId="165" fontId="0" fillId="0" borderId="1" pivotButton="0" quotePrefix="0" xfId="0"/>
    <xf numFmtId="0" fontId="0" fillId="0" borderId="1" pivotButton="0" quotePrefix="0" xfId="0"/>
    <xf numFmtId="0" fontId="2" fillId="3"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styles" Target="styles.xml" Id="rId20" /><Relationship Type="http://schemas.openxmlformats.org/officeDocument/2006/relationships/theme" Target="theme/theme1.xml" Id="rId2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20"/>
  <sheetViews>
    <sheetView workbookViewId="0">
      <selection activeCell="A1" sqref="A1"/>
    </sheetView>
  </sheetViews>
  <sheetFormatPr baseColWidth="8" defaultRowHeight="15"/>
  <cols>
    <col width="140" customWidth="1" min="1" max="1"/>
  </cols>
  <sheetData>
    <row r="1">
      <c r="A1" s="1" t="inlineStr">
        <is>
          <t>Knightsbridge Circle vs Sienna Charles: digital visibility audit</t>
        </is>
      </c>
    </row>
    <row r="2">
      <c r="A2" s="2" t="inlineStr">
        <is>
          <t>Prepared by TenTerms, 2 September 2026. Data: Ahrefs (2026-09-01, mode=subdomains), SERPAPI live Google results (2 Sep 2026), LinkedIn company pages, Companies House, live crawl of every KC sitemap URL. Sienna Charles sits behind Cloudflare, so its page-level detail comes from Ahrefs and Google, not a crawl.</t>
        </is>
      </c>
    </row>
    <row r="3">
      <c r="A3" s="2" t="inlineStr"/>
    </row>
    <row r="4">
      <c r="A4" s="1" t="inlineStr">
        <is>
          <t>How to read this workbook</t>
        </is>
      </c>
    </row>
    <row r="5">
      <c r="A5" s="2" t="inlineStr">
        <is>
          <t>1. Headline: the two sites side by side. The short answer to "are we being outranked" is: not in aggregate and not in the UK. SC leads on the US generic head terms, AI citations and LinkedIn audience.</t>
        </is>
      </c>
    </row>
    <row r="6">
      <c r="A6" s="2" t="inlineStr">
        <is>
          <t>2. Traffic History: KC went from ~80 visits/month to ~2,000-3,000 between Jan and Jul 2026 as the location pages landed. SC has been flat-to-declining for two years.</t>
        </is>
      </c>
    </row>
    <row r="7">
      <c r="A7" s="2" t="inlineStr">
        <is>
          <t>3. Head-to-Head Demand: every commercial term that matters, by market, with each site's best position and URL. Rows with SC ahead of KC are highlighted.</t>
        </is>
      </c>
    </row>
    <row r="8">
      <c r="A8" s="2" t="inlineStr">
        <is>
          <t>4. Market Expansion: city and country demand for the global scope, including Dubai, Singapore and Europe, plus which cities have a KC page today.</t>
        </is>
      </c>
    </row>
    <row r="9">
      <c r="A9" s="2" t="inlineStr">
        <is>
          <t>5. Sector Opportunities: service lines with demand nobody owns (corporate, family office, VIP/sports, yacht/jet, relocation) mapped to pages.</t>
        </is>
      </c>
    </row>
    <row r="10">
      <c r="A10" s="2" t="inlineStr">
        <is>
          <t>6-9. Organic keyword lists for each site and market, and SC's page inventory so you can see how their site is built.</t>
        </is>
      </c>
    </row>
    <row r="11">
      <c r="A11" s="2" t="inlineStr">
        <is>
          <t>10. Live SERPs: who a buyer actually sees, UK and US, with AI Overview and local pack notes.</t>
        </is>
      </c>
    </row>
    <row r="12">
      <c r="A12" s="2" t="inlineStr">
        <is>
          <t>11. KC Page Audit: every sitemap URL with title, meta, H1, word count, schema, internal links and the fix.</t>
        </is>
      </c>
    </row>
    <row r="13">
      <c r="A13" s="2" t="inlineStr">
        <is>
          <t>12. Backlinks and Competitors: referring domains and the organic competitor sets.</t>
        </is>
      </c>
    </row>
    <row r="14">
      <c r="A14" s="2" t="inlineStr">
        <is>
          <t>13. AI Visibility: citation counts by platform and the ingredient scorecard.</t>
        </is>
      </c>
    </row>
    <row r="15">
      <c r="A15" s="2" t="inlineStr">
        <is>
          <t>14. LinkedIn: company and founder comparison.</t>
        </is>
      </c>
    </row>
    <row r="16">
      <c r="A16" s="2" t="inlineStr">
        <is>
          <t>15. Recommendations: prioritised, mapped to service lines (SEO expansion, AI visibility, link magnets, LinkedIn, paid, CRM).</t>
        </is>
      </c>
    </row>
    <row r="17">
      <c r="A17" s="2" t="inlineStr">
        <is>
          <t>16. Data Requests: what we need from KC and why.</t>
        </is>
      </c>
    </row>
    <row r="18">
      <c r="A18" s="2" t="inlineStr"/>
    </row>
    <row r="19">
      <c r="A19" s="3" t="inlineStr">
        <is>
          <t>Conventions: volumes are 12-month average monthly searches from Ahrefs; CPC in USD; positions are Ahrefs best organic position on 2026-09-01 unless marked "live". Yellow rows = priority. Blank position = not ranking in the top 100.</t>
        </is>
      </c>
    </row>
    <row r="20">
      <c r="A20" s="3" t="inlineStr">
        <is>
          <t>Golden rule carried from previous KC work: never change URLs or slugs as part of optimisation. The July 2026 move to /locations/ and /access/ is still consolidating in Google; freeze the URL graph.</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35"/>
  <sheetViews>
    <sheetView workbookViewId="0">
      <pane ySplit="1" topLeftCell="A2" activePane="bottomLeft" state="frozen"/>
      <selection pane="bottomLeft" activeCell="A1" sqref="A1"/>
    </sheetView>
  </sheetViews>
  <sheetFormatPr baseColWidth="8" defaultRowHeight="15"/>
  <cols>
    <col width="40" customWidth="1" min="1" max="1"/>
    <col width="22" customWidth="1" min="2" max="2"/>
    <col width="22" customWidth="1" min="3" max="3"/>
    <col width="60" customWidth="1" min="4" max="4"/>
  </cols>
  <sheetData>
    <row r="1">
      <c r="A1" s="4" t="inlineStr">
        <is>
          <t>Metric</t>
        </is>
      </c>
      <c r="B1" s="4" t="inlineStr">
        <is>
          <t>Knightsbridge Circle</t>
        </is>
      </c>
      <c r="C1" s="4" t="inlineStr">
        <is>
          <t>Sienna Charles</t>
        </is>
      </c>
      <c r="D1" s="4" t="inlineStr">
        <is>
          <t>Source / note</t>
        </is>
      </c>
    </row>
    <row r="2">
      <c r="A2" s="5" t="inlineStr">
        <is>
          <t>Domain Rating</t>
        </is>
      </c>
      <c r="B2" s="6" t="n">
        <v>30</v>
      </c>
      <c r="C2" s="7" t="n">
        <v>37</v>
      </c>
      <c r="D2" s="5" t="inlineStr">
        <is>
          <t>Ahrefs DR</t>
        </is>
      </c>
    </row>
    <row r="3">
      <c r="A3" s="5" t="inlineStr">
        <is>
          <t>Organic keywords (all countries)</t>
        </is>
      </c>
      <c r="B3" s="6" t="n">
        <v>164</v>
      </c>
      <c r="C3" s="7" t="n">
        <v>206</v>
      </c>
      <c r="D3" s="5" t="inlineStr">
        <is>
          <t>Ahrefs</t>
        </is>
      </c>
    </row>
    <row r="4">
      <c r="A4" s="5" t="inlineStr">
        <is>
          <t>Organic keywords in top 3</t>
        </is>
      </c>
      <c r="B4" s="7" t="n">
        <v>55</v>
      </c>
      <c r="C4" s="6" t="n">
        <v>48</v>
      </c>
      <c r="D4" s="5" t="inlineStr">
        <is>
          <t>Ahrefs</t>
        </is>
      </c>
    </row>
    <row r="5">
      <c r="A5" s="5" t="inlineStr">
        <is>
          <t>Organic traffic / month (est.)</t>
        </is>
      </c>
      <c r="B5" s="6" t="n">
        <v>1999</v>
      </c>
      <c r="C5" s="7" t="n">
        <v>2092</v>
      </c>
      <c r="D5" s="5" t="inlineStr">
        <is>
          <t>Ahrefs</t>
        </is>
      </c>
    </row>
    <row r="6">
      <c r="A6" s="5" t="inlineStr">
        <is>
          <t>Organic traffic value $ / month</t>
        </is>
      </c>
      <c r="B6" s="6" t="n">
        <v>2940</v>
      </c>
      <c r="C6" s="7" t="n">
        <v>3042</v>
      </c>
      <c r="D6" s="5" t="inlineStr">
        <is>
          <t>Ahrefs org_cost / 100</t>
        </is>
      </c>
    </row>
    <row r="7">
      <c r="A7" s="5" t="inlineStr">
        <is>
          <t>US organic traffic / month</t>
        </is>
      </c>
      <c r="B7" s="6" t="n">
        <v>1178</v>
      </c>
      <c r="C7" s="7" t="n">
        <v>1957</v>
      </c>
      <c r="D7" s="5" t="inlineStr">
        <is>
          <t>Ahrefs metrics-by-country</t>
        </is>
      </c>
    </row>
    <row r="8">
      <c r="A8" s="5" t="inlineStr">
        <is>
          <t>GB organic traffic / month</t>
        </is>
      </c>
      <c r="B8" s="7" t="n">
        <v>730</v>
      </c>
      <c r="C8" s="6" t="n">
        <v>35</v>
      </c>
      <c r="D8" s="5" t="inlineStr">
        <is>
          <t>Ahrefs metrics-by-country</t>
        </is>
      </c>
    </row>
    <row r="9">
      <c r="A9" s="5" t="inlineStr">
        <is>
          <t>US organic keywords</t>
        </is>
      </c>
      <c r="B9" s="6" t="n">
        <v>84</v>
      </c>
      <c r="C9" s="7" t="n">
        <v>197</v>
      </c>
      <c r="D9" s="5" t="inlineStr">
        <is>
          <t>Ahrefs</t>
        </is>
      </c>
    </row>
    <row r="10">
      <c r="A10" s="5" t="inlineStr">
        <is>
          <t>GB organic keywords</t>
        </is>
      </c>
      <c r="B10" s="7" t="n">
        <v>92</v>
      </c>
      <c r="C10" s="6" t="n">
        <v>8</v>
      </c>
      <c r="D10" s="5" t="inlineStr">
        <is>
          <t>Ahrefs</t>
        </is>
      </c>
    </row>
    <row r="11">
      <c r="A11" s="5" t="inlineStr">
        <is>
          <t>Paid keywords</t>
        </is>
      </c>
      <c r="B11" s="6" t="n">
        <v>0</v>
      </c>
      <c r="C11" s="7" t="n">
        <v>10</v>
      </c>
      <c r="D11" s="5" t="inlineStr">
        <is>
          <t>Ahrefs</t>
        </is>
      </c>
    </row>
    <row r="12">
      <c r="A12" s="5" t="inlineStr">
        <is>
          <t>Paid traffic / month</t>
        </is>
      </c>
      <c r="B12" s="6" t="n">
        <v>0</v>
      </c>
      <c r="C12" s="7" t="n">
        <v>31</v>
      </c>
      <c r="D12" s="5" t="inlineStr">
        <is>
          <t>Ahrefs</t>
        </is>
      </c>
    </row>
    <row r="13">
      <c r="A13" s="5" t="inlineStr">
        <is>
          <t>Live backlinks</t>
        </is>
      </c>
      <c r="B13" s="6" t="n">
        <v>1399</v>
      </c>
      <c r="C13" s="7" t="n">
        <v>1579</v>
      </c>
      <c r="D13" s="5" t="inlineStr">
        <is>
          <t>Ahrefs</t>
        </is>
      </c>
    </row>
    <row r="14">
      <c r="A14" s="5" t="inlineStr">
        <is>
          <t>Live referring domains</t>
        </is>
      </c>
      <c r="B14" s="6" t="n">
        <v>599</v>
      </c>
      <c r="C14" s="7" t="n">
        <v>704</v>
      </c>
      <c r="D14" s="5" t="inlineStr">
        <is>
          <t>Ahrefs</t>
        </is>
      </c>
    </row>
    <row r="15">
      <c r="A15" s="5" t="inlineStr">
        <is>
          <t>All-time referring domains</t>
        </is>
      </c>
      <c r="B15" s="6" t="n">
        <v>1392</v>
      </c>
      <c r="C15" s="7" t="n">
        <v>2233</v>
      </c>
      <c r="D15" s="5" t="inlineStr">
        <is>
          <t>Ahrefs</t>
        </is>
      </c>
    </row>
    <row r="16">
      <c r="A16" s="5" t="inlineStr">
        <is>
          <t>AI citations, all platforms (links)</t>
        </is>
      </c>
      <c r="B16" s="6" t="n">
        <v>60</v>
      </c>
      <c r="C16" s="7" t="n">
        <v>122</v>
      </c>
      <c r="D16" s="5" t="inlineStr">
        <is>
          <t>Ahrefs ai-responses-count</t>
        </is>
      </c>
    </row>
    <row r="17">
      <c r="A17" s="5" t="inlineStr">
        <is>
          <t>AI citations, distinct pages cited</t>
        </is>
      </c>
      <c r="B17" s="6" t="n">
        <v>20</v>
      </c>
      <c r="C17" s="7" t="n">
        <v>41</v>
      </c>
      <c r="D17" s="5" t="inlineStr">
        <is>
          <t>Ahrefs ai-responses-count</t>
        </is>
      </c>
    </row>
    <row r="18">
      <c r="A18" s="5" t="inlineStr">
        <is>
          <t>ChatGPT citations</t>
        </is>
      </c>
      <c r="B18" s="6" t="n">
        <v>5</v>
      </c>
      <c r="C18" s="7" t="n">
        <v>7</v>
      </c>
      <c r="D18" s="5" t="inlineStr">
        <is>
          <t>Ahrefs</t>
        </is>
      </c>
    </row>
    <row r="19">
      <c r="A19" s="5" t="inlineStr">
        <is>
          <t>Perplexity citations</t>
        </is>
      </c>
      <c r="B19" s="6" t="n">
        <v>12</v>
      </c>
      <c r="C19" s="7" t="n">
        <v>17</v>
      </c>
      <c r="D19" s="5" t="inlineStr">
        <is>
          <t>Ahrefs</t>
        </is>
      </c>
    </row>
    <row r="20">
      <c r="A20" s="5" t="inlineStr">
        <is>
          <t>Gemini citations</t>
        </is>
      </c>
      <c r="B20" s="6" t="n">
        <v>4</v>
      </c>
      <c r="C20" s="7" t="n">
        <v>16</v>
      </c>
      <c r="D20" s="5" t="inlineStr">
        <is>
          <t>Ahrefs</t>
        </is>
      </c>
    </row>
    <row r="21">
      <c r="A21" s="5" t="inlineStr">
        <is>
          <t>Google AI Overviews citations</t>
        </is>
      </c>
      <c r="B21" s="6" t="n">
        <v>2</v>
      </c>
      <c r="C21" s="7" t="n">
        <v>13</v>
      </c>
      <c r="D21" s="5" t="inlineStr">
        <is>
          <t>Ahrefs</t>
        </is>
      </c>
    </row>
    <row r="22">
      <c r="A22" s="5" t="inlineStr">
        <is>
          <t>Google AI Mode citations</t>
        </is>
      </c>
      <c r="B22" s="6" t="n">
        <v>5</v>
      </c>
      <c r="C22" s="7" t="n">
        <v>25</v>
      </c>
      <c r="D22" s="5" t="inlineStr">
        <is>
          <t>Ahrefs</t>
        </is>
      </c>
    </row>
    <row r="23">
      <c r="A23" s="5" t="inlineStr">
        <is>
          <t>Copilot citations</t>
        </is>
      </c>
      <c r="B23" s="6" t="n">
        <v>1</v>
      </c>
      <c r="C23" s="7" t="n">
        <v>2</v>
      </c>
      <c r="D23" s="5" t="inlineStr">
        <is>
          <t>Ahrefs</t>
        </is>
      </c>
    </row>
    <row r="24">
      <c r="A24" s="5" t="inlineStr">
        <is>
          <t>Brand search volume GB</t>
        </is>
      </c>
      <c r="B24" s="6" t="n">
        <v>150</v>
      </c>
      <c r="C24" s="7" t="n">
        <v>150</v>
      </c>
      <c r="D24" s="5" t="inlineStr">
        <is>
          <t>Ahrefs keywords-explorer</t>
        </is>
      </c>
    </row>
    <row r="25">
      <c r="A25" s="5" t="inlineStr">
        <is>
          <t>Brand search volume US</t>
        </is>
      </c>
      <c r="B25" s="6" t="n">
        <v>70</v>
      </c>
      <c r="C25" s="7" t="n">
        <v>600</v>
      </c>
      <c r="D25" s="5" t="inlineStr">
        <is>
          <t>Ahrefs keywords-explorer</t>
        </is>
      </c>
    </row>
    <row r="26">
      <c r="A26" s="5" t="inlineStr">
        <is>
          <t>LinkedIn company followers</t>
        </is>
      </c>
      <c r="B26" s="6" t="n">
        <v>4737</v>
      </c>
      <c r="C26" s="7" t="n">
        <v>30992</v>
      </c>
      <c r="D26" s="5" t="inlineStr">
        <is>
          <t>LinkedIn company pages 2026-09-02</t>
        </is>
      </c>
    </row>
    <row r="27">
      <c r="A27" s="5" t="inlineStr">
        <is>
          <t>LinkedIn employees listed</t>
        </is>
      </c>
      <c r="B27" s="7" t="n">
        <v>38</v>
      </c>
      <c r="C27" s="6" t="n">
        <v>14</v>
      </c>
      <c r="D27" s="5" t="inlineStr">
        <is>
          <t>LinkedIn</t>
        </is>
      </c>
    </row>
    <row r="28">
      <c r="A28" s="5" t="inlineStr">
        <is>
          <t>Google Business Profile rating</t>
        </is>
      </c>
      <c r="B28" s="5" t="n">
        <v>4.2</v>
      </c>
      <c r="C28" s="5" t="n"/>
      <c r="D28" s="5" t="inlineStr">
        <is>
          <t>KC London GBP (29 reviews); SC NYC listing shows no rating</t>
        </is>
      </c>
    </row>
    <row r="29">
      <c r="A29" s="5" t="inlineStr">
        <is>
          <t>Google reviews</t>
        </is>
      </c>
      <c r="B29" s="7" t="n">
        <v>29</v>
      </c>
      <c r="C29" s="6" t="n">
        <v>0</v>
      </c>
      <c r="D29" s="5" t="inlineStr">
        <is>
          <t>Google Maps</t>
        </is>
      </c>
    </row>
    <row r="30">
      <c r="A30" s="5" t="inlineStr">
        <is>
          <t>Indexed URLs in sitemap / site: search</t>
        </is>
      </c>
      <c r="B30" s="6" t="n">
        <v>33</v>
      </c>
      <c r="C30" s="7" t="n">
        <v>60</v>
      </c>
      <c r="D30" s="5" t="inlineStr">
        <is>
          <t>KC sitemap; SC est. from Ahrefs top pages + site: search (Cloudflare blocks crawl)</t>
        </is>
      </c>
    </row>
    <row r="32">
      <c r="A32" s="8" t="inlineStr">
        <is>
          <t>Ratio SC : KC organic traffic</t>
        </is>
      </c>
      <c r="B32" s="9">
        <f>C5/B5</f>
        <v/>
      </c>
    </row>
    <row r="33">
      <c r="A33" s="8" t="inlineStr">
        <is>
          <t>Ratio SC : KC AI citations</t>
        </is>
      </c>
      <c r="B33" s="9">
        <f>C16/B16</f>
        <v/>
      </c>
    </row>
    <row r="34">
      <c r="A34" s="8" t="inlineStr">
        <is>
          <t>Ratio SC : KC LinkedIn followers</t>
        </is>
      </c>
      <c r="B34" s="9">
        <f>C26/B26</f>
        <v/>
      </c>
    </row>
    <row r="35">
      <c r="A35" s="10" t="inlineStr">
        <is>
          <t>Green = better of the two on that metric. Traffic figures are Ahrefs estimates, not analytics; use GSC/GA4 to replace them.</t>
        </is>
      </c>
    </row>
  </sheetData>
  <autoFilter ref="A1:D30"/>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31"/>
  <sheetViews>
    <sheetView workbookViewId="0">
      <pane ySplit="1" topLeftCell="A2" activePane="bottomLeft" state="frozen"/>
      <selection pane="bottomLeft" activeCell="A1" sqref="A1"/>
    </sheetView>
  </sheetViews>
  <sheetFormatPr baseColWidth="8" defaultRowHeight="15"/>
  <cols>
    <col width="12" customWidth="1" min="1" max="1"/>
    <col width="18" customWidth="1" min="2" max="2"/>
    <col width="18" customWidth="1" min="3" max="3"/>
    <col width="16" customWidth="1" min="4" max="4"/>
    <col width="14" customWidth="1" min="5" max="5"/>
  </cols>
  <sheetData>
    <row r="1">
      <c r="A1" s="4" t="inlineStr">
        <is>
          <t>Month</t>
        </is>
      </c>
      <c r="B1" s="4" t="inlineStr">
        <is>
          <t>KC organic traffic</t>
        </is>
      </c>
      <c r="C1" s="4" t="inlineStr">
        <is>
          <t>SC organic traffic</t>
        </is>
      </c>
      <c r="D1" s="4" t="inlineStr">
        <is>
          <t>SC paid traffic</t>
        </is>
      </c>
      <c r="E1" s="4" t="inlineStr">
        <is>
          <t>KC as % of SC</t>
        </is>
      </c>
    </row>
    <row r="2">
      <c r="A2" s="5" t="inlineStr">
        <is>
          <t>2024-09</t>
        </is>
      </c>
      <c r="B2" s="11" t="n">
        <v>50</v>
      </c>
      <c r="C2" s="11" t="n">
        <v>3741</v>
      </c>
      <c r="D2" s="11" t="n">
        <v>31</v>
      </c>
      <c r="E2" s="12">
        <f>IF(C2=0,0,B2/C2)</f>
        <v/>
      </c>
    </row>
    <row r="3">
      <c r="A3" s="5" t="inlineStr">
        <is>
          <t>2024-10</t>
        </is>
      </c>
      <c r="B3" s="11" t="n">
        <v>64</v>
      </c>
      <c r="C3" s="11" t="n">
        <v>2907</v>
      </c>
      <c r="D3" s="11" t="n">
        <v>17</v>
      </c>
      <c r="E3" s="12">
        <f>IF(C3=0,0,B3/C3)</f>
        <v/>
      </c>
    </row>
    <row r="4">
      <c r="A4" s="5" t="inlineStr">
        <is>
          <t>2024-11</t>
        </is>
      </c>
      <c r="B4" s="11" t="n">
        <v>70</v>
      </c>
      <c r="C4" s="11" t="n">
        <v>2960</v>
      </c>
      <c r="D4" s="11" t="n">
        <v>34</v>
      </c>
      <c r="E4" s="12">
        <f>IF(C4=0,0,B4/C4)</f>
        <v/>
      </c>
    </row>
    <row r="5">
      <c r="A5" s="5" t="inlineStr">
        <is>
          <t>2024-12</t>
        </is>
      </c>
      <c r="B5" s="11" t="n">
        <v>90</v>
      </c>
      <c r="C5" s="11" t="n">
        <v>2916</v>
      </c>
      <c r="D5" s="11" t="n">
        <v>135</v>
      </c>
      <c r="E5" s="12">
        <f>IF(C5=0,0,B5/C5)</f>
        <v/>
      </c>
    </row>
    <row r="6">
      <c r="A6" s="5" t="inlineStr">
        <is>
          <t>2025-01</t>
        </is>
      </c>
      <c r="B6" s="11" t="n">
        <v>89</v>
      </c>
      <c r="C6" s="11" t="n">
        <v>2783</v>
      </c>
      <c r="D6" s="11" t="n">
        <v>40</v>
      </c>
      <c r="E6" s="12">
        <f>IF(C6=0,0,B6/C6)</f>
        <v/>
      </c>
    </row>
    <row r="7">
      <c r="A7" s="5" t="inlineStr">
        <is>
          <t>2025-02</t>
        </is>
      </c>
      <c r="B7" s="11" t="n">
        <v>79</v>
      </c>
      <c r="C7" s="11" t="n">
        <v>2806</v>
      </c>
      <c r="D7" s="11" t="n">
        <v>5</v>
      </c>
      <c r="E7" s="12">
        <f>IF(C7=0,0,B7/C7)</f>
        <v/>
      </c>
    </row>
    <row r="8">
      <c r="A8" s="5" t="inlineStr">
        <is>
          <t>2025-03</t>
        </is>
      </c>
      <c r="B8" s="11" t="n">
        <v>80</v>
      </c>
      <c r="C8" s="11" t="n">
        <v>2335</v>
      </c>
      <c r="D8" s="11" t="n">
        <v>0</v>
      </c>
      <c r="E8" s="12">
        <f>IF(C8=0,0,B8/C8)</f>
        <v/>
      </c>
    </row>
    <row r="9">
      <c r="A9" s="5" t="inlineStr">
        <is>
          <t>2025-04</t>
        </is>
      </c>
      <c r="B9" s="11" t="n">
        <v>100</v>
      </c>
      <c r="C9" s="11" t="n">
        <v>1949</v>
      </c>
      <c r="D9" s="11" t="n">
        <v>0</v>
      </c>
      <c r="E9" s="12">
        <f>IF(C9=0,0,B9/C9)</f>
        <v/>
      </c>
    </row>
    <row r="10">
      <c r="A10" s="5" t="inlineStr">
        <is>
          <t>2025-05</t>
        </is>
      </c>
      <c r="B10" s="11" t="n">
        <v>96</v>
      </c>
      <c r="C10" s="11" t="n">
        <v>2059</v>
      </c>
      <c r="D10" s="11" t="n">
        <v>0</v>
      </c>
      <c r="E10" s="12">
        <f>IF(C10=0,0,B10/C10)</f>
        <v/>
      </c>
    </row>
    <row r="11">
      <c r="A11" s="5" t="inlineStr">
        <is>
          <t>2025-06</t>
        </is>
      </c>
      <c r="B11" s="11" t="n">
        <v>87</v>
      </c>
      <c r="C11" s="11" t="n">
        <v>2129</v>
      </c>
      <c r="D11" s="11" t="n">
        <v>0</v>
      </c>
      <c r="E11" s="12">
        <f>IF(C11=0,0,B11/C11)</f>
        <v/>
      </c>
    </row>
    <row r="12">
      <c r="A12" s="5" t="inlineStr">
        <is>
          <t>2025-07</t>
        </is>
      </c>
      <c r="B12" s="11" t="n">
        <v>78</v>
      </c>
      <c r="C12" s="11" t="n">
        <v>2347</v>
      </c>
      <c r="D12" s="11" t="n">
        <v>0</v>
      </c>
      <c r="E12" s="12">
        <f>IF(C12=0,0,B12/C12)</f>
        <v/>
      </c>
    </row>
    <row r="13">
      <c r="A13" s="5" t="inlineStr">
        <is>
          <t>2025-08</t>
        </is>
      </c>
      <c r="B13" s="11" t="n">
        <v>76</v>
      </c>
      <c r="C13" s="11" t="n">
        <v>2577</v>
      </c>
      <c r="D13" s="11" t="n">
        <v>11</v>
      </c>
      <c r="E13" s="12">
        <f>IF(C13=0,0,B13/C13)</f>
        <v/>
      </c>
    </row>
    <row r="14">
      <c r="A14" s="5" t="inlineStr">
        <is>
          <t>2025-09</t>
        </is>
      </c>
      <c r="B14" s="11" t="n">
        <v>66</v>
      </c>
      <c r="C14" s="11" t="n">
        <v>2411</v>
      </c>
      <c r="D14" s="11" t="n">
        <v>55</v>
      </c>
      <c r="E14" s="12">
        <f>IF(C14=0,0,B14/C14)</f>
        <v/>
      </c>
    </row>
    <row r="15">
      <c r="A15" s="5" t="inlineStr">
        <is>
          <t>2025-10</t>
        </is>
      </c>
      <c r="B15" s="11" t="n">
        <v>124</v>
      </c>
      <c r="C15" s="11" t="n">
        <v>2559</v>
      </c>
      <c r="D15" s="11" t="n">
        <v>420</v>
      </c>
      <c r="E15" s="12">
        <f>IF(C15=0,0,B15/C15)</f>
        <v/>
      </c>
    </row>
    <row r="16">
      <c r="A16" s="5" t="inlineStr">
        <is>
          <t>2025-11</t>
        </is>
      </c>
      <c r="B16" s="11" t="n">
        <v>88</v>
      </c>
      <c r="C16" s="11" t="n">
        <v>2485</v>
      </c>
      <c r="D16" s="11" t="n">
        <v>392</v>
      </c>
      <c r="E16" s="12">
        <f>IF(C16=0,0,B16/C16)</f>
        <v/>
      </c>
    </row>
    <row r="17">
      <c r="A17" s="5" t="inlineStr">
        <is>
          <t>2025-12</t>
        </is>
      </c>
      <c r="B17" s="11" t="n">
        <v>113</v>
      </c>
      <c r="C17" s="11" t="n">
        <v>2735</v>
      </c>
      <c r="D17" s="11" t="n">
        <v>634</v>
      </c>
      <c r="E17" s="12">
        <f>IF(C17=0,0,B17/C17)</f>
        <v/>
      </c>
    </row>
    <row r="18">
      <c r="A18" s="5" t="inlineStr">
        <is>
          <t>2026-01</t>
        </is>
      </c>
      <c r="B18" s="11" t="n">
        <v>272</v>
      </c>
      <c r="C18" s="11" t="n">
        <v>3167</v>
      </c>
      <c r="D18" s="11" t="n">
        <v>737</v>
      </c>
      <c r="E18" s="12">
        <f>IF(C18=0,0,B18/C18)</f>
        <v/>
      </c>
    </row>
    <row r="19">
      <c r="A19" s="5" t="inlineStr">
        <is>
          <t>2026-02</t>
        </is>
      </c>
      <c r="B19" s="11" t="n">
        <v>351</v>
      </c>
      <c r="C19" s="11" t="n">
        <v>3156</v>
      </c>
      <c r="D19" s="11" t="n">
        <v>185</v>
      </c>
      <c r="E19" s="12">
        <f>IF(C19=0,0,B19/C19)</f>
        <v/>
      </c>
    </row>
    <row r="20">
      <c r="A20" s="5" t="inlineStr">
        <is>
          <t>2026-03</t>
        </is>
      </c>
      <c r="B20" s="11" t="n">
        <v>614</v>
      </c>
      <c r="C20" s="11" t="n">
        <v>2730</v>
      </c>
      <c r="D20" s="11" t="n">
        <v>96</v>
      </c>
      <c r="E20" s="12">
        <f>IF(C20=0,0,B20/C20)</f>
        <v/>
      </c>
    </row>
    <row r="21">
      <c r="A21" s="5" t="inlineStr">
        <is>
          <t>2026-04</t>
        </is>
      </c>
      <c r="B21" s="11" t="n">
        <v>1375</v>
      </c>
      <c r="C21" s="11" t="n">
        <v>2656</v>
      </c>
      <c r="D21" s="11" t="n">
        <v>88</v>
      </c>
      <c r="E21" s="12">
        <f>IF(C21=0,0,B21/C21)</f>
        <v/>
      </c>
    </row>
    <row r="22">
      <c r="A22" s="5" t="inlineStr">
        <is>
          <t>2026-05</t>
        </is>
      </c>
      <c r="B22" s="11" t="n">
        <v>1985</v>
      </c>
      <c r="C22" s="11" t="n">
        <v>2630</v>
      </c>
      <c r="D22" s="11" t="n">
        <v>95</v>
      </c>
      <c r="E22" s="12">
        <f>IF(C22=0,0,B22/C22)</f>
        <v/>
      </c>
    </row>
    <row r="23">
      <c r="A23" s="5" t="inlineStr">
        <is>
          <t>2026-06</t>
        </is>
      </c>
      <c r="B23" s="11" t="n">
        <v>2161</v>
      </c>
      <c r="C23" s="11" t="n">
        <v>2523</v>
      </c>
      <c r="D23" s="11" t="n">
        <v>321</v>
      </c>
      <c r="E23" s="12">
        <f>IF(C23=0,0,B23/C23)</f>
        <v/>
      </c>
    </row>
    <row r="24">
      <c r="A24" s="5" t="inlineStr">
        <is>
          <t>2026-07</t>
        </is>
      </c>
      <c r="B24" s="11" t="n">
        <v>3262</v>
      </c>
      <c r="C24" s="11" t="n">
        <v>2385</v>
      </c>
      <c r="D24" s="11" t="n">
        <v>463</v>
      </c>
      <c r="E24" s="12">
        <f>IF(C24=0,0,B24/C24)</f>
        <v/>
      </c>
    </row>
    <row r="25">
      <c r="A25" s="5" t="inlineStr">
        <is>
          <t>2026-08</t>
        </is>
      </c>
      <c r="B25" s="11" t="n">
        <v>2261</v>
      </c>
      <c r="C25" s="11" t="n">
        <v>2190</v>
      </c>
      <c r="D25" s="11" t="n">
        <v>242</v>
      </c>
      <c r="E25" s="12">
        <f>IF(C25=0,0,B25/C25)</f>
        <v/>
      </c>
    </row>
    <row r="26">
      <c r="A26" s="5" t="inlineStr">
        <is>
          <t>2026-09</t>
        </is>
      </c>
      <c r="B26" s="11" t="n">
        <v>2041</v>
      </c>
      <c r="C26" s="11" t="n">
        <v>2035</v>
      </c>
      <c r="D26" s="11" t="n">
        <v>16</v>
      </c>
      <c r="E26" s="12">
        <f>IF(C26=0,0,B26/C26)</f>
        <v/>
      </c>
    </row>
    <row r="28">
      <c r="A28" s="8" t="inlineStr">
        <is>
          <t>KC growth Sep-25 to Sep-26</t>
        </is>
      </c>
      <c r="B28" s="12">
        <f>B26/B14-1</f>
        <v/>
      </c>
    </row>
    <row r="29">
      <c r="A29" s="8" t="inlineStr">
        <is>
          <t>SC change Sep-25 to Sep-26</t>
        </is>
      </c>
      <c r="B29" s="12">
        <f>C26/C14-1</f>
        <v/>
      </c>
    </row>
    <row r="30">
      <c r="A30" s="8" t="inlineStr">
        <is>
          <t>KC growth Sep-24 to Sep-26</t>
        </is>
      </c>
      <c r="B30" s="12">
        <f>B26/B2-1</f>
        <v/>
      </c>
    </row>
    <row r="31">
      <c r="A31" s="10" t="inlineStr">
        <is>
          <t>Source: Ahrefs site-explorer-metrics-history, monthly, org_traffic. Location pages went live Jan-Jul 2026; the URL move to /locations/ and /access/ happened ~Jul 2026 (Aug dip = consolidation, not a penalty).</t>
        </is>
      </c>
    </row>
  </sheetData>
  <autoFilter ref="A1:E26"/>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81"/>
  <sheetViews>
    <sheetView workbookViewId="0">
      <pane ySplit="2" topLeftCell="A3" activePane="bottomLeft" state="frozen"/>
      <selection pane="bottomLeft" activeCell="A1" sqref="A1"/>
    </sheetView>
  </sheetViews>
  <sheetFormatPr baseColWidth="8" defaultRowHeight="15"/>
  <cols>
    <col width="34" customWidth="1" min="1" max="1"/>
    <col width="8" customWidth="1" min="2" max="2"/>
    <col width="9" customWidth="1" min="3" max="3"/>
    <col width="6" customWidth="1" min="4" max="4"/>
    <col width="7" customWidth="1" min="5" max="5"/>
    <col width="10" customWidth="1" min="6" max="6"/>
    <col width="30" customWidth="1" min="7" max="7"/>
    <col width="9" customWidth="1" min="8" max="8"/>
    <col width="40" customWidth="1" min="9" max="9"/>
    <col width="9" customWidth="1" min="10" max="10"/>
    <col width="32" customWidth="1" min="11" max="11"/>
    <col width="10" customWidth="1" min="12" max="12"/>
    <col width="20" customWidth="1" min="13" max="13"/>
  </cols>
  <sheetData>
    <row r="1" ht="30" customHeight="1">
      <c r="A1" s="3" t="inlineStr">
        <is>
          <t>Ahrefs keywords-explorer + site-explorer organic keywords, 2026-09-01. Positions are best organic position; blank = not in top 100. Yellow = SC ahead or neither ranks on a term with 100+ volume.</t>
        </is>
      </c>
    </row>
    <row r="2">
      <c r="A2" s="4" t="inlineStr">
        <is>
          <t>Keyword</t>
        </is>
      </c>
      <c r="B2" s="4" t="inlineStr">
        <is>
          <t>Market</t>
        </is>
      </c>
      <c r="C2" s="4" t="inlineStr">
        <is>
          <t>Volume</t>
        </is>
      </c>
      <c r="D2" s="4" t="inlineStr">
        <is>
          <t>KD</t>
        </is>
      </c>
      <c r="E2" s="4" t="inlineStr">
        <is>
          <t>CPC $</t>
        </is>
      </c>
      <c r="F2" s="4" t="inlineStr">
        <is>
          <t>Traffic potential</t>
        </is>
      </c>
      <c r="G2" s="4" t="inlineStr">
        <is>
          <t>SERP features</t>
        </is>
      </c>
      <c r="H2" s="4" t="inlineStr">
        <is>
          <t>KC best pos</t>
        </is>
      </c>
      <c r="I2" s="4" t="inlineStr">
        <is>
          <t>KC URL</t>
        </is>
      </c>
      <c r="J2" s="4" t="inlineStr">
        <is>
          <t>SC best pos</t>
        </is>
      </c>
      <c r="K2" s="4" t="inlineStr">
        <is>
          <t>SC URL</t>
        </is>
      </c>
      <c r="L2" s="4" t="inlineStr">
        <is>
          <t>Who leads</t>
        </is>
      </c>
      <c r="M2" s="4" t="inlineStr">
        <is>
          <t>Cluster</t>
        </is>
      </c>
    </row>
    <row r="3">
      <c r="A3" s="5" t="inlineStr">
        <is>
          <t>quintessentially</t>
        </is>
      </c>
      <c r="B3" s="5" t="inlineStr">
        <is>
          <t>GB</t>
        </is>
      </c>
      <c r="C3" s="11" t="n">
        <v>1700</v>
      </c>
      <c r="D3" s="5" t="n">
        <v>8</v>
      </c>
      <c r="E3" s="13" t="n">
        <v>2.5</v>
      </c>
      <c r="F3" s="5" t="n">
        <v>1500</v>
      </c>
      <c r="G3" s="5" t="inlineStr">
        <is>
          <t>AI overview (competitor brand)</t>
        </is>
      </c>
      <c r="H3" s="5" t="n"/>
      <c r="I3" s="5" t="inlineStr"/>
      <c r="J3" s="5" t="n"/>
      <c r="K3" s="5" t="inlineStr"/>
      <c r="L3" s="5" t="inlineStr">
        <is>
          <t>Neither</t>
        </is>
      </c>
      <c r="M3" s="5" t="inlineStr">
        <is>
          <t>Brand</t>
        </is>
      </c>
    </row>
    <row r="4">
      <c r="A4" s="14" t="inlineStr">
        <is>
          <t>luxury concierge service</t>
        </is>
      </c>
      <c r="B4" s="14" t="inlineStr">
        <is>
          <t>GB</t>
        </is>
      </c>
      <c r="C4" s="15" t="n">
        <v>350</v>
      </c>
      <c r="D4" s="14" t="n">
        <v>9</v>
      </c>
      <c r="E4" s="16" t="n">
        <v>1</v>
      </c>
      <c r="F4" s="14" t="n">
        <v>200</v>
      </c>
      <c r="G4" s="14" t="inlineStr">
        <is>
          <t>AI overview, local pack, PAA</t>
        </is>
      </c>
      <c r="H4" s="14" t="n"/>
      <c r="I4" s="14" t="inlineStr"/>
      <c r="J4" s="14" t="n"/>
      <c r="K4" s="14" t="inlineStr"/>
      <c r="L4" s="14" t="inlineStr">
        <is>
          <t>Neither</t>
        </is>
      </c>
      <c r="M4" s="14" t="inlineStr">
        <is>
          <t>Generic concierge</t>
        </is>
      </c>
    </row>
    <row r="5">
      <c r="A5" s="14" t="inlineStr">
        <is>
          <t>luxury concierge</t>
        </is>
      </c>
      <c r="B5" s="14" t="inlineStr">
        <is>
          <t>GB</t>
        </is>
      </c>
      <c r="C5" s="15" t="n">
        <v>350</v>
      </c>
      <c r="D5" s="14" t="n">
        <v>31</v>
      </c>
      <c r="E5" s="16" t="n">
        <v>1.4</v>
      </c>
      <c r="F5" s="14" t="n">
        <v>800</v>
      </c>
      <c r="G5" s="14" t="inlineStr">
        <is>
          <t>AI overview, PAA</t>
        </is>
      </c>
      <c r="H5" s="14" t="n"/>
      <c r="I5" s="14" t="inlineStr"/>
      <c r="J5" s="14" t="n"/>
      <c r="K5" s="14" t="inlineStr"/>
      <c r="L5" s="14" t="inlineStr">
        <is>
          <t>Neither</t>
        </is>
      </c>
      <c r="M5" s="14" t="inlineStr">
        <is>
          <t>Generic concierge</t>
        </is>
      </c>
    </row>
    <row r="6">
      <c r="A6" s="14" t="inlineStr">
        <is>
          <t>private concierge</t>
        </is>
      </c>
      <c r="B6" s="14" t="inlineStr">
        <is>
          <t>GB</t>
        </is>
      </c>
      <c r="C6" s="15" t="n">
        <v>250</v>
      </c>
      <c r="D6" s="14" t="n">
        <v>39</v>
      </c>
      <c r="E6" s="16" t="n">
        <v>0.7</v>
      </c>
      <c r="F6" s="14" t="n">
        <v>1100</v>
      </c>
      <c r="G6" s="14" t="inlineStr">
        <is>
          <t>AI overview, knowledge panel</t>
        </is>
      </c>
      <c r="H6" s="14" t="n"/>
      <c r="I6" s="14" t="inlineStr"/>
      <c r="J6" s="14" t="n"/>
      <c r="K6" s="14" t="inlineStr"/>
      <c r="L6" s="14" t="inlineStr">
        <is>
          <t>Neither</t>
        </is>
      </c>
      <c r="M6" s="14" t="inlineStr">
        <is>
          <t>Generic concierge</t>
        </is>
      </c>
    </row>
    <row r="7">
      <c r="A7" s="5" t="inlineStr">
        <is>
          <t>concierge service london</t>
        </is>
      </c>
      <c r="B7" s="5" t="inlineStr">
        <is>
          <t>GB</t>
        </is>
      </c>
      <c r="C7" s="11" t="n">
        <v>200</v>
      </c>
      <c r="D7" s="5" t="n">
        <v>4</v>
      </c>
      <c r="E7" s="13" t="n">
        <v>1.2</v>
      </c>
      <c r="F7" s="5" t="n">
        <v>1000</v>
      </c>
      <c r="G7" s="5" t="inlineStr">
        <is>
          <t>local pack</t>
        </is>
      </c>
      <c r="H7" s="5" t="n">
        <v>5</v>
      </c>
      <c r="I7" s="5" t="inlineStr">
        <is>
          <t>/locations/london-concierge-service</t>
        </is>
      </c>
      <c r="J7" s="5" t="n"/>
      <c r="K7" s="5" t="inlineStr"/>
      <c r="L7" s="5" t="inlineStr">
        <is>
          <t>KC</t>
        </is>
      </c>
      <c r="M7" s="5" t="inlineStr">
        <is>
          <t>City</t>
        </is>
      </c>
    </row>
    <row r="8">
      <c r="A8" s="14" t="inlineStr">
        <is>
          <t>lifestyle concierge</t>
        </is>
      </c>
      <c r="B8" s="14" t="inlineStr">
        <is>
          <t>GB</t>
        </is>
      </c>
      <c r="C8" s="15" t="n">
        <v>200</v>
      </c>
      <c r="D8" s="14" t="n">
        <v>17</v>
      </c>
      <c r="E8" s="16" t="n">
        <v>1</v>
      </c>
      <c r="F8" s="14" t="n">
        <v>20</v>
      </c>
      <c r="G8" s="14" t="inlineStr">
        <is>
          <t>AI overview</t>
        </is>
      </c>
      <c r="H8" s="14" t="n"/>
      <c r="I8" s="14" t="inlineStr"/>
      <c r="J8" s="14" t="n"/>
      <c r="K8" s="14" t="inlineStr"/>
      <c r="L8" s="14" t="inlineStr">
        <is>
          <t>Neither</t>
        </is>
      </c>
      <c r="M8" s="14" t="inlineStr">
        <is>
          <t>Lifestyle</t>
        </is>
      </c>
    </row>
    <row r="9">
      <c r="A9" s="14" t="inlineStr">
        <is>
          <t>travel concierge</t>
        </is>
      </c>
      <c r="B9" s="14" t="inlineStr">
        <is>
          <t>GB</t>
        </is>
      </c>
      <c r="C9" s="15" t="n">
        <v>200</v>
      </c>
      <c r="D9" s="14" t="n">
        <v>3</v>
      </c>
      <c r="E9" s="16" t="n">
        <v>1.5</v>
      </c>
      <c r="F9" s="14" t="n">
        <v>30</v>
      </c>
      <c r="G9" s="14" t="inlineStr">
        <is>
          <t>AI overview, local pack</t>
        </is>
      </c>
      <c r="H9" s="14" t="n"/>
      <c r="I9" s="14" t="inlineStr"/>
      <c r="J9" s="14" t="n"/>
      <c r="K9" s="14" t="inlineStr"/>
      <c r="L9" s="14" t="inlineStr">
        <is>
          <t>Neither</t>
        </is>
      </c>
      <c r="M9" s="14" t="inlineStr">
        <is>
          <t>Travel</t>
        </is>
      </c>
    </row>
    <row r="10">
      <c r="A10" s="5" t="inlineStr">
        <is>
          <t>concierge company</t>
        </is>
      </c>
      <c r="B10" s="5" t="inlineStr">
        <is>
          <t>GB</t>
        </is>
      </c>
      <c r="C10" s="11" t="n">
        <v>200</v>
      </c>
      <c r="D10" s="5" t="n">
        <v>45</v>
      </c>
      <c r="E10" s="13" t="n">
        <v>1.1</v>
      </c>
      <c r="F10" s="5" t="n"/>
      <c r="G10" s="5" t="inlineStr"/>
      <c r="H10" s="5" t="n">
        <v>7</v>
      </c>
      <c r="I10" s="5" t="inlineStr">
        <is>
          <t>/locations/london-concierge-service</t>
        </is>
      </c>
      <c r="J10" s="5" t="n"/>
      <c r="K10" s="5" t="inlineStr"/>
      <c r="L10" s="5" t="inlineStr">
        <is>
          <t>KC</t>
        </is>
      </c>
      <c r="M10" s="5" t="inlineStr">
        <is>
          <t>Generic concierge</t>
        </is>
      </c>
    </row>
    <row r="11">
      <c r="A11" s="5" t="inlineStr">
        <is>
          <t>concierge services uk</t>
        </is>
      </c>
      <c r="B11" s="5" t="inlineStr">
        <is>
          <t>GB</t>
        </is>
      </c>
      <c r="C11" s="11" t="n">
        <v>200</v>
      </c>
      <c r="D11" s="5" t="n">
        <v>29</v>
      </c>
      <c r="E11" s="13" t="n">
        <v>1.2</v>
      </c>
      <c r="F11" s="5" t="n"/>
      <c r="G11" s="5" t="inlineStr"/>
      <c r="H11" s="5" t="n">
        <v>9</v>
      </c>
      <c r="I11" s="5" t="inlineStr">
        <is>
          <t>/</t>
        </is>
      </c>
      <c r="J11" s="5" t="n"/>
      <c r="K11" s="5" t="inlineStr"/>
      <c r="L11" s="5" t="inlineStr">
        <is>
          <t>KC</t>
        </is>
      </c>
      <c r="M11" s="5" t="inlineStr">
        <is>
          <t>Generic concierge</t>
        </is>
      </c>
    </row>
    <row r="12">
      <c r="A12" s="5" t="inlineStr">
        <is>
          <t>luxury concierge london</t>
        </is>
      </c>
      <c r="B12" s="5" t="inlineStr">
        <is>
          <t>GB</t>
        </is>
      </c>
      <c r="C12" s="11" t="n">
        <v>150</v>
      </c>
      <c r="D12" s="5" t="n">
        <v>5</v>
      </c>
      <c r="E12" s="13" t="n">
        <v>1.7</v>
      </c>
      <c r="F12" s="5" t="n">
        <v>1000</v>
      </c>
      <c r="G12" s="5" t="inlineStr">
        <is>
          <t>local pack</t>
        </is>
      </c>
      <c r="H12" s="5" t="n">
        <v>5</v>
      </c>
      <c r="I12" s="5" t="inlineStr">
        <is>
          <t>/locations/london-concierge-service</t>
        </is>
      </c>
      <c r="J12" s="5" t="n"/>
      <c r="K12" s="5" t="inlineStr"/>
      <c r="L12" s="5" t="inlineStr">
        <is>
          <t>KC</t>
        </is>
      </c>
      <c r="M12" s="5" t="inlineStr">
        <is>
          <t>City</t>
        </is>
      </c>
    </row>
    <row r="13">
      <c r="A13" s="5" t="inlineStr">
        <is>
          <t>london concierge</t>
        </is>
      </c>
      <c r="B13" s="5" t="inlineStr">
        <is>
          <t>GB</t>
        </is>
      </c>
      <c r="C13" s="11" t="n">
        <v>150</v>
      </c>
      <c r="D13" s="5" t="n">
        <v>0</v>
      </c>
      <c r="E13" s="13" t="n">
        <v>1.7</v>
      </c>
      <c r="F13" s="5" t="n"/>
      <c r="G13" s="5" t="inlineStr"/>
      <c r="H13" s="5" t="n">
        <v>8</v>
      </c>
      <c r="I13" s="5" t="inlineStr">
        <is>
          <t>/locations/london-concierge-service</t>
        </is>
      </c>
      <c r="J13" s="5" t="n"/>
      <c r="K13" s="5" t="inlineStr"/>
      <c r="L13" s="5" t="inlineStr">
        <is>
          <t>KC</t>
        </is>
      </c>
      <c r="M13" s="5" t="inlineStr">
        <is>
          <t>City</t>
        </is>
      </c>
    </row>
    <row r="14">
      <c r="A14" s="5" t="inlineStr">
        <is>
          <t>knightsbridge circle</t>
        </is>
      </c>
      <c r="B14" s="5" t="inlineStr">
        <is>
          <t>GB</t>
        </is>
      </c>
      <c r="C14" s="11" t="n">
        <v>150</v>
      </c>
      <c r="D14" s="5" t="n">
        <v>1</v>
      </c>
      <c r="E14" s="13" t="n">
        <v>1.2</v>
      </c>
      <c r="F14" s="5" t="n">
        <v>70</v>
      </c>
      <c r="G14" s="5" t="inlineStr">
        <is>
          <t>sitelinks, PAA, video</t>
        </is>
      </c>
      <c r="H14" s="5" t="n">
        <v>1</v>
      </c>
      <c r="I14" s="5" t="inlineStr">
        <is>
          <t>/</t>
        </is>
      </c>
      <c r="J14" s="5" t="n"/>
      <c r="K14" s="5" t="inlineStr"/>
      <c r="L14" s="5" t="inlineStr">
        <is>
          <t>KC</t>
        </is>
      </c>
      <c r="M14" s="5" t="inlineStr">
        <is>
          <t>Brand</t>
        </is>
      </c>
    </row>
    <row r="15">
      <c r="A15" s="5" t="inlineStr">
        <is>
          <t>sienna charles</t>
        </is>
      </c>
      <c r="B15" s="5" t="inlineStr">
        <is>
          <t>GB</t>
        </is>
      </c>
      <c r="C15" s="11" t="n">
        <v>150</v>
      </c>
      <c r="D15" s="5" t="n">
        <v>0</v>
      </c>
      <c r="E15" s="13" t="n"/>
      <c r="F15" s="5" t="n">
        <v>60</v>
      </c>
      <c r="G15" s="5" t="inlineStr">
        <is>
          <t>AI overview, images</t>
        </is>
      </c>
      <c r="H15" s="5" t="n"/>
      <c r="I15" s="5" t="inlineStr"/>
      <c r="J15" s="5" t="n">
        <v>1</v>
      </c>
      <c r="K15" s="5" t="inlineStr">
        <is>
          <t>/</t>
        </is>
      </c>
      <c r="L15" s="5" t="inlineStr">
        <is>
          <t>SC</t>
        </is>
      </c>
      <c r="M15" s="5" t="inlineStr">
        <is>
          <t>Brand</t>
        </is>
      </c>
    </row>
    <row r="16">
      <c r="A16" s="14" t="inlineStr">
        <is>
          <t>vip concierge service</t>
        </is>
      </c>
      <c r="B16" s="14" t="inlineStr">
        <is>
          <t>GB</t>
        </is>
      </c>
      <c r="C16" s="15" t="n">
        <v>100</v>
      </c>
      <c r="D16" s="14" t="n"/>
      <c r="E16" s="16" t="n">
        <v>1.8</v>
      </c>
      <c r="F16" s="14" t="n"/>
      <c r="G16" s="14" t="inlineStr"/>
      <c r="H16" s="14" t="n"/>
      <c r="I16" s="14" t="inlineStr"/>
      <c r="J16" s="14" t="n"/>
      <c r="K16" s="14" t="inlineStr"/>
      <c r="L16" s="14" t="inlineStr">
        <is>
          <t>Neither</t>
        </is>
      </c>
      <c r="M16" s="14" t="inlineStr">
        <is>
          <t>VIP</t>
        </is>
      </c>
    </row>
    <row r="17">
      <c r="A17" s="14" t="inlineStr">
        <is>
          <t>luxury travel concierge</t>
        </is>
      </c>
      <c r="B17" s="14" t="inlineStr">
        <is>
          <t>GB</t>
        </is>
      </c>
      <c r="C17" s="15" t="n">
        <v>100</v>
      </c>
      <c r="D17" s="14" t="n">
        <v>9</v>
      </c>
      <c r="E17" s="16" t="n">
        <v>1.6</v>
      </c>
      <c r="F17" s="14" t="n">
        <v>150</v>
      </c>
      <c r="G17" s="14" t="inlineStr">
        <is>
          <t>PAA</t>
        </is>
      </c>
      <c r="H17" s="14" t="n"/>
      <c r="I17" s="14" t="inlineStr"/>
      <c r="J17" s="14" t="n"/>
      <c r="K17" s="14" t="inlineStr"/>
      <c r="L17" s="14" t="inlineStr">
        <is>
          <t>Neither</t>
        </is>
      </c>
      <c r="M17" s="14" t="inlineStr">
        <is>
          <t>Travel</t>
        </is>
      </c>
    </row>
    <row r="18">
      <c r="A18" s="14" t="inlineStr">
        <is>
          <t>lifestyle management company</t>
        </is>
      </c>
      <c r="B18" s="14" t="inlineStr">
        <is>
          <t>GB</t>
        </is>
      </c>
      <c r="C18" s="15" t="n">
        <v>100</v>
      </c>
      <c r="D18" s="14" t="n"/>
      <c r="E18" s="16" t="n">
        <v>1.2</v>
      </c>
      <c r="F18" s="14" t="n"/>
      <c r="G18" s="14" t="inlineStr"/>
      <c r="H18" s="14" t="n"/>
      <c r="I18" s="14" t="inlineStr"/>
      <c r="J18" s="14" t="n"/>
      <c r="K18" s="14" t="inlineStr"/>
      <c r="L18" s="14" t="inlineStr">
        <is>
          <t>Neither</t>
        </is>
      </c>
      <c r="M18" s="14" t="inlineStr">
        <is>
          <t>Lifestyle</t>
        </is>
      </c>
    </row>
    <row r="19">
      <c r="A19" s="14" t="inlineStr">
        <is>
          <t>luxury concierge companies</t>
        </is>
      </c>
      <c r="B19" s="14" t="inlineStr">
        <is>
          <t>GB</t>
        </is>
      </c>
      <c r="C19" s="15" t="n">
        <v>100</v>
      </c>
      <c r="D19" s="14" t="n">
        <v>9</v>
      </c>
      <c r="E19" s="16" t="n">
        <v>1.1</v>
      </c>
      <c r="F19" s="14" t="n"/>
      <c r="G19" s="14" t="inlineStr"/>
      <c r="H19" s="14" t="n"/>
      <c r="I19" s="14" t="inlineStr"/>
      <c r="J19" s="14" t="n"/>
      <c r="K19" s="14" t="inlineStr"/>
      <c r="L19" s="14" t="inlineStr">
        <is>
          <t>Neither</t>
        </is>
      </c>
      <c r="M19" s="14" t="inlineStr">
        <is>
          <t>Generic concierge</t>
        </is>
      </c>
    </row>
    <row r="20">
      <c r="A20" s="14" t="inlineStr">
        <is>
          <t>luxury concierge services london</t>
        </is>
      </c>
      <c r="B20" s="14" t="inlineStr">
        <is>
          <t>GB</t>
        </is>
      </c>
      <c r="C20" s="15" t="n">
        <v>100</v>
      </c>
      <c r="D20" s="14" t="n"/>
      <c r="E20" s="16" t="n">
        <v>1.5</v>
      </c>
      <c r="F20" s="14" t="n"/>
      <c r="G20" s="14" t="inlineStr"/>
      <c r="H20" s="14" t="n"/>
      <c r="I20" s="14" t="inlineStr"/>
      <c r="J20" s="14" t="n"/>
      <c r="K20" s="14" t="inlineStr"/>
      <c r="L20" s="14" t="inlineStr">
        <is>
          <t>Neither</t>
        </is>
      </c>
      <c r="M20" s="14" t="inlineStr">
        <is>
          <t>City</t>
        </is>
      </c>
    </row>
    <row r="21">
      <c r="A21" s="5" t="inlineStr">
        <is>
          <t>best concierge service</t>
        </is>
      </c>
      <c r="B21" s="5" t="inlineStr">
        <is>
          <t>GB</t>
        </is>
      </c>
      <c r="C21" s="11" t="n">
        <v>80</v>
      </c>
      <c r="D21" s="5" t="n">
        <v>12</v>
      </c>
      <c r="E21" s="13" t="n">
        <v>1.5</v>
      </c>
      <c r="F21" s="5" t="n"/>
      <c r="G21" s="5" t="inlineStr"/>
      <c r="H21" s="5" t="n"/>
      <c r="I21" s="5" t="inlineStr"/>
      <c r="J21" s="5" t="n"/>
      <c r="K21" s="5" t="inlineStr"/>
      <c r="L21" s="5" t="inlineStr">
        <is>
          <t>Neither</t>
        </is>
      </c>
      <c r="M21" s="5" t="inlineStr">
        <is>
          <t>Generic concierge</t>
        </is>
      </c>
    </row>
    <row r="22">
      <c r="A22" s="5" t="inlineStr">
        <is>
          <t>best concierge service london</t>
        </is>
      </c>
      <c r="B22" s="5" t="inlineStr">
        <is>
          <t>GB</t>
        </is>
      </c>
      <c r="C22" s="11" t="n">
        <v>80</v>
      </c>
      <c r="D22" s="5" t="n"/>
      <c r="E22" s="13" t="n">
        <v>1.8</v>
      </c>
      <c r="F22" s="5" t="n"/>
      <c r="G22" s="5" t="inlineStr"/>
      <c r="H22" s="5" t="n"/>
      <c r="I22" s="5" t="inlineStr"/>
      <c r="J22" s="5" t="n"/>
      <c r="K22" s="5" t="inlineStr"/>
      <c r="L22" s="5" t="inlineStr">
        <is>
          <t>Neither</t>
        </is>
      </c>
      <c r="M22" s="5" t="inlineStr">
        <is>
          <t>City</t>
        </is>
      </c>
    </row>
    <row r="23">
      <c r="A23" s="5" t="inlineStr">
        <is>
          <t>luxury lifestyle management</t>
        </is>
      </c>
      <c r="B23" s="5" t="inlineStr">
        <is>
          <t>GB</t>
        </is>
      </c>
      <c r="C23" s="11" t="n">
        <v>80</v>
      </c>
      <c r="D23" s="5" t="n">
        <v>2</v>
      </c>
      <c r="E23" s="13" t="n"/>
      <c r="F23" s="5" t="n"/>
      <c r="G23" s="5" t="inlineStr"/>
      <c r="H23" s="5" t="n"/>
      <c r="I23" s="5" t="inlineStr"/>
      <c r="J23" s="5" t="n">
        <v>8</v>
      </c>
      <c r="K23" s="5" t="inlineStr">
        <is>
          <t>/luxury-lifestyle-concierge</t>
        </is>
      </c>
      <c r="L23" s="5" t="inlineStr">
        <is>
          <t>SC</t>
        </is>
      </c>
      <c r="M23" s="5" t="inlineStr">
        <is>
          <t>Lifestyle</t>
        </is>
      </c>
    </row>
    <row r="24">
      <c r="A24" s="5" t="inlineStr">
        <is>
          <t>luxury lifestyle concierge</t>
        </is>
      </c>
      <c r="B24" s="5" t="inlineStr">
        <is>
          <t>GB</t>
        </is>
      </c>
      <c r="C24" s="11" t="n">
        <v>50</v>
      </c>
      <c r="D24" s="5" t="n"/>
      <c r="E24" s="13" t="n">
        <v>1.5</v>
      </c>
      <c r="F24" s="5" t="n"/>
      <c r="G24" s="5" t="inlineStr"/>
      <c r="H24" s="5" t="n"/>
      <c r="I24" s="5" t="inlineStr"/>
      <c r="J24" s="5" t="n"/>
      <c r="K24" s="5" t="inlineStr"/>
      <c r="L24" s="5" t="inlineStr">
        <is>
          <t>Neither</t>
        </is>
      </c>
      <c r="M24" s="5" t="inlineStr">
        <is>
          <t>Lifestyle</t>
        </is>
      </c>
    </row>
    <row r="25">
      <c r="A25" s="5" t="inlineStr">
        <is>
          <t>best luxury concierge uk</t>
        </is>
      </c>
      <c r="B25" s="5" t="inlineStr">
        <is>
          <t>GB</t>
        </is>
      </c>
      <c r="C25" s="11" t="n">
        <v>50</v>
      </c>
      <c r="D25" s="5" t="n"/>
      <c r="E25" s="13" t="n"/>
      <c r="F25" s="5" t="n"/>
      <c r="G25" s="5" t="inlineStr"/>
      <c r="H25" s="5" t="n"/>
      <c r="I25" s="5" t="inlineStr"/>
      <c r="J25" s="5" t="n"/>
      <c r="K25" s="5" t="inlineStr"/>
      <c r="L25" s="5" t="inlineStr">
        <is>
          <t>Neither</t>
        </is>
      </c>
      <c r="M25" s="5" t="inlineStr">
        <is>
          <t>Generic concierge</t>
        </is>
      </c>
    </row>
    <row r="26">
      <c r="A26" s="5" t="inlineStr">
        <is>
          <t>luxury concierge service uk</t>
        </is>
      </c>
      <c r="B26" s="5" t="inlineStr">
        <is>
          <t>GB</t>
        </is>
      </c>
      <c r="C26" s="11" t="n">
        <v>50</v>
      </c>
      <c r="D26" s="5" t="n">
        <v>42</v>
      </c>
      <c r="E26" s="13" t="n"/>
      <c r="F26" s="5" t="n"/>
      <c r="G26" s="5" t="inlineStr"/>
      <c r="H26" s="5" t="n">
        <v>9</v>
      </c>
      <c r="I26" s="5" t="inlineStr">
        <is>
          <t>/locations/london-concierge-service</t>
        </is>
      </c>
      <c r="J26" s="5" t="n"/>
      <c r="K26" s="5" t="inlineStr"/>
      <c r="L26" s="5" t="inlineStr">
        <is>
          <t>KC</t>
        </is>
      </c>
      <c r="M26" s="5" t="inlineStr">
        <is>
          <t>Generic concierge</t>
        </is>
      </c>
    </row>
    <row r="27">
      <c r="A27" s="5" t="inlineStr">
        <is>
          <t>concierge membership</t>
        </is>
      </c>
      <c r="B27" s="5" t="inlineStr">
        <is>
          <t>GB</t>
        </is>
      </c>
      <c r="C27" s="11" t="n">
        <v>40</v>
      </c>
      <c r="D27" s="5" t="n"/>
      <c r="E27" s="13" t="n">
        <v>1.3</v>
      </c>
      <c r="F27" s="5" t="n"/>
      <c r="G27" s="5" t="inlineStr"/>
      <c r="H27" s="5" t="n"/>
      <c r="I27" s="5" t="inlineStr"/>
      <c r="J27" s="5" t="n"/>
      <c r="K27" s="5" t="inlineStr"/>
      <c r="L27" s="5" t="inlineStr">
        <is>
          <t>Neither</t>
        </is>
      </c>
      <c r="M27" s="5" t="inlineStr">
        <is>
          <t>Membership</t>
        </is>
      </c>
    </row>
    <row r="28">
      <c r="A28" s="14" t="inlineStr">
        <is>
          <t>luxury travel agency</t>
        </is>
      </c>
      <c r="B28" s="14" t="inlineStr">
        <is>
          <t>US</t>
        </is>
      </c>
      <c r="C28" s="15" t="n">
        <v>2700</v>
      </c>
      <c r="D28" s="14" t="n">
        <v>75</v>
      </c>
      <c r="E28" s="16" t="n">
        <v>1.9</v>
      </c>
      <c r="F28" s="14" t="n">
        <v>21000</v>
      </c>
      <c r="G28" s="14" t="inlineStr">
        <is>
          <t>local pack, PAA</t>
        </is>
      </c>
      <c r="H28" s="14" t="n"/>
      <c r="I28" s="14" t="inlineStr"/>
      <c r="J28" s="14" t="n"/>
      <c r="K28" s="14" t="inlineStr"/>
      <c r="L28" s="14" t="inlineStr">
        <is>
          <t>Neither</t>
        </is>
      </c>
      <c r="M28" s="14" t="inlineStr">
        <is>
          <t>Travel</t>
        </is>
      </c>
    </row>
    <row r="29">
      <c r="A29" s="5" t="inlineStr">
        <is>
          <t>quintessentially</t>
        </is>
      </c>
      <c r="B29" s="5" t="inlineStr">
        <is>
          <t>US</t>
        </is>
      </c>
      <c r="C29" s="11" t="n">
        <v>2200</v>
      </c>
      <c r="D29" s="5" t="n">
        <v>21</v>
      </c>
      <c r="E29" s="13" t="n">
        <v>3</v>
      </c>
      <c r="F29" s="5" t="n">
        <v>1200</v>
      </c>
      <c r="G29" s="5" t="inlineStr">
        <is>
          <t>AI overview (competitor brand)</t>
        </is>
      </c>
      <c r="H29" s="5" t="n"/>
      <c r="I29" s="5" t="inlineStr"/>
      <c r="J29" s="5" t="n"/>
      <c r="K29" s="5" t="inlineStr"/>
      <c r="L29" s="5" t="inlineStr">
        <is>
          <t>Neither</t>
        </is>
      </c>
      <c r="M29" s="5" t="inlineStr">
        <is>
          <t>Brand</t>
        </is>
      </c>
    </row>
    <row r="30">
      <c r="A30" s="14" t="inlineStr">
        <is>
          <t>luxury travel advisor</t>
        </is>
      </c>
      <c r="B30" s="14" t="inlineStr">
        <is>
          <t>US</t>
        </is>
      </c>
      <c r="C30" s="15" t="n">
        <v>2100</v>
      </c>
      <c r="D30" s="14" t="n">
        <v>57</v>
      </c>
      <c r="E30" s="16" t="n">
        <v>2</v>
      </c>
      <c r="F30" s="14" t="n">
        <v>3700</v>
      </c>
      <c r="G30" s="14" t="inlineStr">
        <is>
          <t>AI overview, PAA</t>
        </is>
      </c>
      <c r="H30" s="14" t="n"/>
      <c r="I30" s="14" t="inlineStr"/>
      <c r="J30" s="14" t="n"/>
      <c r="K30" s="14" t="inlineStr"/>
      <c r="L30" s="14" t="inlineStr">
        <is>
          <t>Neither</t>
        </is>
      </c>
      <c r="M30" s="14" t="inlineStr">
        <is>
          <t>Travel</t>
        </is>
      </c>
    </row>
    <row r="31">
      <c r="A31" s="14" t="inlineStr">
        <is>
          <t>personal concierge services</t>
        </is>
      </c>
      <c r="B31" s="14" t="inlineStr">
        <is>
          <t>US</t>
        </is>
      </c>
      <c r="C31" s="15" t="n">
        <v>1000</v>
      </c>
      <c r="D31" s="14" t="n">
        <v>1</v>
      </c>
      <c r="E31" s="16" t="n">
        <v>1.2</v>
      </c>
      <c r="F31" s="14" t="n"/>
      <c r="G31" s="14" t="inlineStr"/>
      <c r="H31" s="14" t="n"/>
      <c r="I31" s="14" t="inlineStr"/>
      <c r="J31" s="14" t="n"/>
      <c r="K31" s="14" t="inlineStr"/>
      <c r="L31" s="14" t="inlineStr">
        <is>
          <t>Neither</t>
        </is>
      </c>
      <c r="M31" s="14" t="inlineStr">
        <is>
          <t>Generic concierge</t>
        </is>
      </c>
    </row>
    <row r="32">
      <c r="A32" s="14" t="inlineStr">
        <is>
          <t>travel concierge</t>
        </is>
      </c>
      <c r="B32" s="14" t="inlineStr">
        <is>
          <t>US</t>
        </is>
      </c>
      <c r="C32" s="15" t="n">
        <v>700</v>
      </c>
      <c r="D32" s="14" t="n">
        <v>41</v>
      </c>
      <c r="E32" s="16" t="n">
        <v>1.9</v>
      </c>
      <c r="F32" s="14" t="n">
        <v>300</v>
      </c>
      <c r="G32" s="14" t="inlineStr">
        <is>
          <t>PAA, video</t>
        </is>
      </c>
      <c r="H32" s="14" t="n"/>
      <c r="I32" s="14" t="inlineStr"/>
      <c r="J32" s="14" t="n">
        <v>10</v>
      </c>
      <c r="K32" s="14" t="inlineStr">
        <is>
          <t>/luxury-travel-concierge</t>
        </is>
      </c>
      <c r="L32" s="14" t="inlineStr">
        <is>
          <t>SC</t>
        </is>
      </c>
      <c r="M32" s="14" t="inlineStr">
        <is>
          <t>Travel</t>
        </is>
      </c>
    </row>
    <row r="33">
      <c r="A33" s="14" t="inlineStr">
        <is>
          <t>luxury travel concierge</t>
        </is>
      </c>
      <c r="B33" s="14" t="inlineStr">
        <is>
          <t>US</t>
        </is>
      </c>
      <c r="C33" s="15" t="n">
        <v>600</v>
      </c>
      <c r="D33" s="14" t="n">
        <v>5</v>
      </c>
      <c r="E33" s="16" t="n">
        <v>1.9</v>
      </c>
      <c r="F33" s="14" t="n">
        <v>350</v>
      </c>
      <c r="G33" s="14" t="inlineStr">
        <is>
          <t>AI overview, PAA, video</t>
        </is>
      </c>
      <c r="H33" s="14" t="n"/>
      <c r="I33" s="14" t="inlineStr"/>
      <c r="J33" s="14" t="n">
        <v>1</v>
      </c>
      <c r="K33" s="14" t="inlineStr">
        <is>
          <t>/luxury-travel-concierge</t>
        </is>
      </c>
      <c r="L33" s="14" t="inlineStr">
        <is>
          <t>SC</t>
        </is>
      </c>
      <c r="M33" s="14" t="inlineStr">
        <is>
          <t>Travel</t>
        </is>
      </c>
    </row>
    <row r="34">
      <c r="A34" s="14" t="inlineStr">
        <is>
          <t>luxury concierge</t>
        </is>
      </c>
      <c r="B34" s="14" t="inlineStr">
        <is>
          <t>US</t>
        </is>
      </c>
      <c r="C34" s="15" t="n">
        <v>600</v>
      </c>
      <c r="D34" s="14" t="n">
        <v>2</v>
      </c>
      <c r="E34" s="16" t="n">
        <v>1.3</v>
      </c>
      <c r="F34" s="14" t="n">
        <v>2400</v>
      </c>
      <c r="G34" s="14" t="inlineStr">
        <is>
          <t>AI overview, PAA, images, video</t>
        </is>
      </c>
      <c r="H34" s="14" t="n">
        <v>21</v>
      </c>
      <c r="I34" s="14" t="inlineStr">
        <is>
          <t>/locations/new-york-concierge-service</t>
        </is>
      </c>
      <c r="J34" s="14" t="n">
        <v>1</v>
      </c>
      <c r="K34" s="14" t="inlineStr">
        <is>
          <t>/vip-luxury-concierge</t>
        </is>
      </c>
      <c r="L34" s="14" t="inlineStr">
        <is>
          <t>SC</t>
        </is>
      </c>
      <c r="M34" s="14" t="inlineStr">
        <is>
          <t>Generic concierge</t>
        </is>
      </c>
    </row>
    <row r="35">
      <c r="A35" s="5" t="inlineStr">
        <is>
          <t>sienna charles</t>
        </is>
      </c>
      <c r="B35" s="5" t="inlineStr">
        <is>
          <t>US</t>
        </is>
      </c>
      <c r="C35" s="11" t="n">
        <v>600</v>
      </c>
      <c r="D35" s="5" t="n">
        <v>1</v>
      </c>
      <c r="E35" s="13" t="n">
        <v>3.5</v>
      </c>
      <c r="F35" s="5" t="n">
        <v>250</v>
      </c>
      <c r="G35" s="5" t="inlineStr">
        <is>
          <t>sitelinks, PAA, video</t>
        </is>
      </c>
      <c r="H35" s="5" t="n"/>
      <c r="I35" s="5" t="inlineStr"/>
      <c r="J35" s="5" t="n">
        <v>1</v>
      </c>
      <c r="K35" s="5" t="inlineStr">
        <is>
          <t>/</t>
        </is>
      </c>
      <c r="L35" s="5" t="inlineStr">
        <is>
          <t>SC</t>
        </is>
      </c>
      <c r="M35" s="5" t="inlineStr">
        <is>
          <t>Brand</t>
        </is>
      </c>
    </row>
    <row r="36">
      <c r="A36" s="14" t="inlineStr">
        <is>
          <t>luxury concierge service</t>
        </is>
      </c>
      <c r="B36" s="14" t="inlineStr">
        <is>
          <t>US</t>
        </is>
      </c>
      <c r="C36" s="15" t="n">
        <v>500</v>
      </c>
      <c r="D36" s="14" t="n">
        <v>6</v>
      </c>
      <c r="E36" s="16" t="n">
        <v>1.3</v>
      </c>
      <c r="F36" s="14" t="n">
        <v>1900</v>
      </c>
      <c r="G36" s="14" t="inlineStr">
        <is>
          <t>PAA, video</t>
        </is>
      </c>
      <c r="H36" s="14" t="n">
        <v>21</v>
      </c>
      <c r="I36" s="14" t="inlineStr">
        <is>
          <t>/locations</t>
        </is>
      </c>
      <c r="J36" s="14" t="n">
        <v>4</v>
      </c>
      <c r="K36" s="14" t="inlineStr">
        <is>
          <t>/vip-luxury-concierge</t>
        </is>
      </c>
      <c r="L36" s="14" t="inlineStr">
        <is>
          <t>SC</t>
        </is>
      </c>
      <c r="M36" s="14" t="inlineStr">
        <is>
          <t>Generic concierge</t>
        </is>
      </c>
    </row>
    <row r="37">
      <c r="A37" s="14" t="inlineStr">
        <is>
          <t>travel concierge services</t>
        </is>
      </c>
      <c r="B37" s="14" t="inlineStr">
        <is>
          <t>US</t>
        </is>
      </c>
      <c r="C37" s="15" t="n">
        <v>450</v>
      </c>
      <c r="D37" s="14" t="n">
        <v>2</v>
      </c>
      <c r="E37" s="16" t="n">
        <v>1.3</v>
      </c>
      <c r="F37" s="14" t="n"/>
      <c r="G37" s="14" t="inlineStr"/>
      <c r="H37" s="14" t="n"/>
      <c r="I37" s="14" t="inlineStr"/>
      <c r="J37" s="14" t="n">
        <v>1</v>
      </c>
      <c r="K37" s="14" t="inlineStr">
        <is>
          <t>/luxury-travel-concierge</t>
        </is>
      </c>
      <c r="L37" s="14" t="inlineStr">
        <is>
          <t>SC</t>
        </is>
      </c>
      <c r="M37" s="14" t="inlineStr">
        <is>
          <t>Travel</t>
        </is>
      </c>
    </row>
    <row r="38">
      <c r="A38" s="14" t="inlineStr">
        <is>
          <t>private concierge</t>
        </is>
      </c>
      <c r="B38" s="14" t="inlineStr">
        <is>
          <t>US</t>
        </is>
      </c>
      <c r="C38" s="15" t="n">
        <v>400</v>
      </c>
      <c r="D38" s="14" t="n">
        <v>8</v>
      </c>
      <c r="E38" s="16" t="n">
        <v>1.4</v>
      </c>
      <c r="F38" s="14" t="n">
        <v>2300</v>
      </c>
      <c r="G38" s="14" t="inlineStr">
        <is>
          <t>AI overview, local pack, PAA</t>
        </is>
      </c>
      <c r="H38" s="14" t="n"/>
      <c r="I38" s="14" t="inlineStr"/>
      <c r="J38" s="14" t="n">
        <v>1</v>
      </c>
      <c r="K38" s="14" t="inlineStr">
        <is>
          <t>/vip-luxury-concierge</t>
        </is>
      </c>
      <c r="L38" s="14" t="inlineStr">
        <is>
          <t>SC</t>
        </is>
      </c>
      <c r="M38" s="14" t="inlineStr">
        <is>
          <t>Generic concierge</t>
        </is>
      </c>
    </row>
    <row r="39">
      <c r="A39" s="14" t="inlineStr">
        <is>
          <t>vip concierge</t>
        </is>
      </c>
      <c r="B39" s="14" t="inlineStr">
        <is>
          <t>US</t>
        </is>
      </c>
      <c r="C39" s="15" t="n">
        <v>400</v>
      </c>
      <c r="D39" s="14" t="n">
        <v>30</v>
      </c>
      <c r="E39" s="16" t="n">
        <v>2.5</v>
      </c>
      <c r="F39" s="14" t="n"/>
      <c r="G39" s="14" t="inlineStr"/>
      <c r="H39" s="14" t="n"/>
      <c r="I39" s="14" t="inlineStr"/>
      <c r="J39" s="14" t="n"/>
      <c r="K39" s="14" t="inlineStr"/>
      <c r="L39" s="14" t="inlineStr">
        <is>
          <t>Neither</t>
        </is>
      </c>
      <c r="M39" s="14" t="inlineStr">
        <is>
          <t>VIP</t>
        </is>
      </c>
    </row>
    <row r="40">
      <c r="A40" s="14" t="inlineStr">
        <is>
          <t>concierge company</t>
        </is>
      </c>
      <c r="B40" s="14" t="inlineStr">
        <is>
          <t>US</t>
        </is>
      </c>
      <c r="C40" s="15" t="n">
        <v>400</v>
      </c>
      <c r="D40" s="14" t="n">
        <v>0</v>
      </c>
      <c r="E40" s="16" t="n">
        <v>1.9</v>
      </c>
      <c r="F40" s="14" t="n"/>
      <c r="G40" s="14" t="inlineStr"/>
      <c r="H40" s="14" t="n"/>
      <c r="I40" s="14" t="inlineStr"/>
      <c r="J40" s="14" t="n"/>
      <c r="K40" s="14" t="inlineStr"/>
      <c r="L40" s="14" t="inlineStr">
        <is>
          <t>Neither</t>
        </is>
      </c>
      <c r="M40" s="14" t="inlineStr">
        <is>
          <t>Generic concierge</t>
        </is>
      </c>
    </row>
    <row r="41">
      <c r="A41" s="14" t="inlineStr">
        <is>
          <t>luxury concierge services</t>
        </is>
      </c>
      <c r="B41" s="14" t="inlineStr">
        <is>
          <t>US</t>
        </is>
      </c>
      <c r="C41" s="15" t="n">
        <v>350</v>
      </c>
      <c r="D41" s="14" t="n">
        <v>2</v>
      </c>
      <c r="E41" s="16" t="n">
        <v>1.8</v>
      </c>
      <c r="F41" s="14" t="n"/>
      <c r="G41" s="14" t="inlineStr"/>
      <c r="H41" s="14" t="n"/>
      <c r="I41" s="14" t="inlineStr"/>
      <c r="J41" s="14" t="n">
        <v>1</v>
      </c>
      <c r="K41" s="14" t="inlineStr">
        <is>
          <t>/become-a-member</t>
        </is>
      </c>
      <c r="L41" s="14" t="inlineStr">
        <is>
          <t>SC</t>
        </is>
      </c>
      <c r="M41" s="14" t="inlineStr">
        <is>
          <t>Generic concierge</t>
        </is>
      </c>
    </row>
    <row r="42">
      <c r="A42" s="14" t="inlineStr">
        <is>
          <t>lifestyle concierge</t>
        </is>
      </c>
      <c r="B42" s="14" t="inlineStr">
        <is>
          <t>US</t>
        </is>
      </c>
      <c r="C42" s="15" t="n">
        <v>350</v>
      </c>
      <c r="D42" s="14" t="n">
        <v>5</v>
      </c>
      <c r="E42" s="16" t="n">
        <v>1.1</v>
      </c>
      <c r="F42" s="14" t="n">
        <v>2100</v>
      </c>
      <c r="G42" s="14" t="inlineStr">
        <is>
          <t>AI overview, PAA</t>
        </is>
      </c>
      <c r="H42" s="14" t="n"/>
      <c r="I42" s="14" t="inlineStr"/>
      <c r="J42" s="14" t="n">
        <v>1</v>
      </c>
      <c r="K42" s="14" t="inlineStr">
        <is>
          <t>/luxury-lifestyle-concierge</t>
        </is>
      </c>
      <c r="L42" s="14" t="inlineStr">
        <is>
          <t>SC</t>
        </is>
      </c>
      <c r="M42" s="14" t="inlineStr">
        <is>
          <t>Lifestyle</t>
        </is>
      </c>
    </row>
    <row r="43">
      <c r="A43" s="5" t="inlineStr">
        <is>
          <t>corporate concierge services</t>
        </is>
      </c>
      <c r="B43" s="5" t="inlineStr">
        <is>
          <t>US</t>
        </is>
      </c>
      <c r="C43" s="11" t="n">
        <v>300</v>
      </c>
      <c r="D43" s="5" t="n">
        <v>1</v>
      </c>
      <c r="E43" s="13" t="n">
        <v>2</v>
      </c>
      <c r="F43" s="5" t="n"/>
      <c r="G43" s="5" t="inlineStr"/>
      <c r="H43" s="5" t="n">
        <v>4</v>
      </c>
      <c r="I43" s="5" t="inlineStr">
        <is>
          <t>/locations/new-york-concierge-service</t>
        </is>
      </c>
      <c r="J43" s="5" t="n"/>
      <c r="K43" s="5" t="inlineStr"/>
      <c r="L43" s="5" t="inlineStr">
        <is>
          <t>KC</t>
        </is>
      </c>
      <c r="M43" s="5" t="inlineStr">
        <is>
          <t>Corporate / family office</t>
        </is>
      </c>
    </row>
    <row r="44">
      <c r="A44" s="14" t="inlineStr">
        <is>
          <t>corporate concierge</t>
        </is>
      </c>
      <c r="B44" s="14" t="inlineStr">
        <is>
          <t>US</t>
        </is>
      </c>
      <c r="C44" s="15" t="n">
        <v>300</v>
      </c>
      <c r="D44" s="14" t="n">
        <v>1</v>
      </c>
      <c r="E44" s="16" t="n">
        <v>2.5</v>
      </c>
      <c r="F44" s="14" t="n"/>
      <c r="G44" s="14" t="inlineStr"/>
      <c r="H44" s="14" t="n"/>
      <c r="I44" s="14" t="inlineStr"/>
      <c r="J44" s="14" t="n"/>
      <c r="K44" s="14" t="inlineStr"/>
      <c r="L44" s="14" t="inlineStr">
        <is>
          <t>Neither</t>
        </is>
      </c>
      <c r="M44" s="14" t="inlineStr">
        <is>
          <t>Corporate / family office</t>
        </is>
      </c>
    </row>
    <row r="45">
      <c r="A45" s="5" t="inlineStr">
        <is>
          <t>luxury concierge nyc</t>
        </is>
      </c>
      <c r="B45" s="5" t="inlineStr">
        <is>
          <t>US</t>
        </is>
      </c>
      <c r="C45" s="11" t="n">
        <v>250</v>
      </c>
      <c r="D45" s="5" t="n">
        <v>0</v>
      </c>
      <c r="E45" s="13" t="n">
        <v>2.5</v>
      </c>
      <c r="F45" s="5" t="n">
        <v>100</v>
      </c>
      <c r="G45" s="5" t="inlineStr">
        <is>
          <t>knowledge panel, sitelinks</t>
        </is>
      </c>
      <c r="H45" s="5" t="n">
        <v>1</v>
      </c>
      <c r="I45" s="5" t="inlineStr">
        <is>
          <t>/locations/new-york-concierge-service</t>
        </is>
      </c>
      <c r="J45" s="5" t="n">
        <v>2</v>
      </c>
      <c r="K45" s="5" t="inlineStr">
        <is>
          <t>/vip-luxury-concierge</t>
        </is>
      </c>
      <c r="L45" s="5" t="inlineStr">
        <is>
          <t>KC</t>
        </is>
      </c>
      <c r="M45" s="5" t="inlineStr">
        <is>
          <t>City</t>
        </is>
      </c>
    </row>
    <row r="46">
      <c r="A46" s="14" t="inlineStr">
        <is>
          <t>new york concierge services</t>
        </is>
      </c>
      <c r="B46" s="14" t="inlineStr">
        <is>
          <t>US</t>
        </is>
      </c>
      <c r="C46" s="15" t="n">
        <v>250</v>
      </c>
      <c r="D46" s="14" t="n">
        <v>1</v>
      </c>
      <c r="E46" s="16" t="n"/>
      <c r="F46" s="14" t="n"/>
      <c r="G46" s="14" t="inlineStr"/>
      <c r="H46" s="14" t="n">
        <v>8</v>
      </c>
      <c r="I46" s="14" t="inlineStr">
        <is>
          <t>/locations/new-york-concierge-service</t>
        </is>
      </c>
      <c r="J46" s="14" t="n">
        <v>3</v>
      </c>
      <c r="K46" s="14" t="inlineStr">
        <is>
          <t>/vip-luxury-concierge</t>
        </is>
      </c>
      <c r="L46" s="14" t="inlineStr">
        <is>
          <t>SC</t>
        </is>
      </c>
      <c r="M46" s="14" t="inlineStr">
        <is>
          <t>City</t>
        </is>
      </c>
    </row>
    <row r="47">
      <c r="A47" s="5" t="inlineStr">
        <is>
          <t>concierge nyc</t>
        </is>
      </c>
      <c r="B47" s="5" t="inlineStr">
        <is>
          <t>US</t>
        </is>
      </c>
      <c r="C47" s="11" t="n">
        <v>200</v>
      </c>
      <c r="D47" s="5" t="n">
        <v>37</v>
      </c>
      <c r="E47" s="13" t="n"/>
      <c r="F47" s="5" t="n"/>
      <c r="G47" s="5" t="inlineStr"/>
      <c r="H47" s="5" t="n">
        <v>4</v>
      </c>
      <c r="I47" s="5" t="inlineStr">
        <is>
          <t>/locations</t>
        </is>
      </c>
      <c r="J47" s="5" t="n"/>
      <c r="K47" s="5" t="inlineStr"/>
      <c r="L47" s="5" t="inlineStr">
        <is>
          <t>KC</t>
        </is>
      </c>
      <c r="M47" s="5" t="inlineStr">
        <is>
          <t>City</t>
        </is>
      </c>
    </row>
    <row r="48">
      <c r="A48" s="14" t="inlineStr">
        <is>
          <t>lifestyle concierge services</t>
        </is>
      </c>
      <c r="B48" s="14" t="inlineStr">
        <is>
          <t>US</t>
        </is>
      </c>
      <c r="C48" s="15" t="n">
        <v>200</v>
      </c>
      <c r="D48" s="14" t="n">
        <v>0</v>
      </c>
      <c r="E48" s="16" t="n">
        <v>1.6</v>
      </c>
      <c r="F48" s="14" t="n"/>
      <c r="G48" s="14" t="inlineStr"/>
      <c r="H48" s="14" t="n">
        <v>1</v>
      </c>
      <c r="I48" s="14" t="inlineStr">
        <is>
          <t>/locations/new-york-concierge-service</t>
        </is>
      </c>
      <c r="J48" s="14" t="n">
        <v>1</v>
      </c>
      <c r="K48" s="14" t="inlineStr">
        <is>
          <t>/luxury-lifestyle-concierge</t>
        </is>
      </c>
      <c r="L48" s="14" t="inlineStr">
        <is>
          <t>SC</t>
        </is>
      </c>
      <c r="M48" s="14" t="inlineStr">
        <is>
          <t>Lifestyle</t>
        </is>
      </c>
    </row>
    <row r="49">
      <c r="A49" s="5" t="inlineStr">
        <is>
          <t>lifestyle management services</t>
        </is>
      </c>
      <c r="B49" s="5" t="inlineStr">
        <is>
          <t>US</t>
        </is>
      </c>
      <c r="C49" s="11" t="n">
        <v>200</v>
      </c>
      <c r="D49" s="5" t="n">
        <v>0</v>
      </c>
      <c r="E49" s="13" t="n"/>
      <c r="F49" s="5" t="n"/>
      <c r="G49" s="5" t="inlineStr"/>
      <c r="H49" s="5" t="n">
        <v>2</v>
      </c>
      <c r="I49" s="5" t="inlineStr">
        <is>
          <t>/locations/new-york-concierge-service</t>
        </is>
      </c>
      <c r="J49" s="5" t="n">
        <v>4</v>
      </c>
      <c r="K49" s="5" t="inlineStr">
        <is>
          <t>/luxury-lifestyle-concierge</t>
        </is>
      </c>
      <c r="L49" s="5" t="inlineStr">
        <is>
          <t>KC</t>
        </is>
      </c>
      <c r="M49" s="5" t="inlineStr">
        <is>
          <t>Lifestyle</t>
        </is>
      </c>
    </row>
    <row r="50">
      <c r="A50" s="5" t="inlineStr">
        <is>
          <t>luxury concierge miami</t>
        </is>
      </c>
      <c r="B50" s="5" t="inlineStr">
        <is>
          <t>US</t>
        </is>
      </c>
      <c r="C50" s="11" t="n">
        <v>200</v>
      </c>
      <c r="D50" s="5" t="n">
        <v>2</v>
      </c>
      <c r="E50" s="13" t="n">
        <v>2</v>
      </c>
      <c r="F50" s="5" t="n">
        <v>30</v>
      </c>
      <c r="G50" s="5" t="inlineStr">
        <is>
          <t>local pack, PAA, ads</t>
        </is>
      </c>
      <c r="H50" s="5" t="n">
        <v>2</v>
      </c>
      <c r="I50" s="5" t="inlineStr">
        <is>
          <t>/locations/miami-luxury-concierge</t>
        </is>
      </c>
      <c r="J50" s="5" t="n"/>
      <c r="K50" s="5" t="inlineStr"/>
      <c r="L50" s="5" t="inlineStr">
        <is>
          <t>KC</t>
        </is>
      </c>
      <c r="M50" s="5" t="inlineStr">
        <is>
          <t>City</t>
        </is>
      </c>
    </row>
    <row r="51">
      <c r="A51" s="14" t="inlineStr">
        <is>
          <t>luxury concierge los angeles</t>
        </is>
      </c>
      <c r="B51" s="14" t="inlineStr">
        <is>
          <t>US</t>
        </is>
      </c>
      <c r="C51" s="15" t="n">
        <v>200</v>
      </c>
      <c r="D51" s="14" t="n"/>
      <c r="E51" s="16" t="n">
        <v>3</v>
      </c>
      <c r="F51" s="14" t="n"/>
      <c r="G51" s="14" t="inlineStr"/>
      <c r="H51" s="14" t="n"/>
      <c r="I51" s="14" t="inlineStr"/>
      <c r="J51" s="14" t="n"/>
      <c r="K51" s="14" t="inlineStr"/>
      <c r="L51" s="14" t="inlineStr">
        <is>
          <t>Neither</t>
        </is>
      </c>
      <c r="M51" s="14" t="inlineStr">
        <is>
          <t>City</t>
        </is>
      </c>
    </row>
    <row r="52">
      <c r="A52" s="5" t="inlineStr">
        <is>
          <t>concierge services miami</t>
        </is>
      </c>
      <c r="B52" s="5" t="inlineStr">
        <is>
          <t>US</t>
        </is>
      </c>
      <c r="C52" s="11" t="n">
        <v>200</v>
      </c>
      <c r="D52" s="5" t="n">
        <v>0</v>
      </c>
      <c r="E52" s="13" t="n"/>
      <c r="F52" s="5" t="n"/>
      <c r="G52" s="5" t="inlineStr"/>
      <c r="H52" s="5" t="n">
        <v>3</v>
      </c>
      <c r="I52" s="5" t="inlineStr">
        <is>
          <t>/locations/miami-luxury-concierge</t>
        </is>
      </c>
      <c r="J52" s="5" t="n"/>
      <c r="K52" s="5" t="inlineStr"/>
      <c r="L52" s="5" t="inlineStr">
        <is>
          <t>KC</t>
        </is>
      </c>
      <c r="M52" s="5" t="inlineStr">
        <is>
          <t>City</t>
        </is>
      </c>
    </row>
    <row r="53">
      <c r="A53" s="14" t="inlineStr">
        <is>
          <t>yacht concierge services</t>
        </is>
      </c>
      <c r="B53" s="14" t="inlineStr">
        <is>
          <t>US</t>
        </is>
      </c>
      <c r="C53" s="15" t="n">
        <v>200</v>
      </c>
      <c r="D53" s="14" t="n">
        <v>0</v>
      </c>
      <c r="E53" s="16" t="n">
        <v>2</v>
      </c>
      <c r="F53" s="14" t="n"/>
      <c r="G53" s="14" t="inlineStr"/>
      <c r="H53" s="14" t="n"/>
      <c r="I53" s="14" t="inlineStr"/>
      <c r="J53" s="14" t="n"/>
      <c r="K53" s="14" t="inlineStr"/>
      <c r="L53" s="14" t="inlineStr">
        <is>
          <t>Neither</t>
        </is>
      </c>
      <c r="M53" s="14" t="inlineStr">
        <is>
          <t>Adjacent service</t>
        </is>
      </c>
    </row>
    <row r="54">
      <c r="A54" s="14" t="inlineStr">
        <is>
          <t>luxury concierge services nyc</t>
        </is>
      </c>
      <c r="B54" s="14" t="inlineStr">
        <is>
          <t>US</t>
        </is>
      </c>
      <c r="C54" s="15" t="n">
        <v>150</v>
      </c>
      <c r="D54" s="14" t="n">
        <v>1</v>
      </c>
      <c r="E54" s="16" t="n">
        <v>1.9</v>
      </c>
      <c r="F54" s="14" t="n"/>
      <c r="G54" s="14" t="inlineStr"/>
      <c r="H54" s="14" t="n">
        <v>3</v>
      </c>
      <c r="I54" s="14" t="inlineStr">
        <is>
          <t>/locations/new-york-concierge-service</t>
        </is>
      </c>
      <c r="J54" s="14" t="n">
        <v>2</v>
      </c>
      <c r="K54" s="14" t="inlineStr">
        <is>
          <t>/vip-luxury-concierge</t>
        </is>
      </c>
      <c r="L54" s="14" t="inlineStr">
        <is>
          <t>SC</t>
        </is>
      </c>
      <c r="M54" s="14" t="inlineStr">
        <is>
          <t>City</t>
        </is>
      </c>
    </row>
    <row r="55">
      <c r="A55" s="14" t="inlineStr">
        <is>
          <t>luxury lifestyle concierge</t>
        </is>
      </c>
      <c r="B55" s="14" t="inlineStr">
        <is>
          <t>US</t>
        </is>
      </c>
      <c r="C55" s="15" t="n">
        <v>150</v>
      </c>
      <c r="D55" s="14" t="n">
        <v>1</v>
      </c>
      <c r="E55" s="16" t="n">
        <v>1.1</v>
      </c>
      <c r="F55" s="14" t="n">
        <v>1400</v>
      </c>
      <c r="G55" s="14" t="inlineStr">
        <is>
          <t>PAA</t>
        </is>
      </c>
      <c r="H55" s="14" t="n">
        <v>7</v>
      </c>
      <c r="I55" s="14" t="inlineStr">
        <is>
          <t>/locations/luxury-concierge-dallas</t>
        </is>
      </c>
      <c r="J55" s="14" t="n">
        <v>3</v>
      </c>
      <c r="K55" s="14" t="inlineStr">
        <is>
          <t>/luxury-lifestyle-concierge</t>
        </is>
      </c>
      <c r="L55" s="14" t="inlineStr">
        <is>
          <t>SC</t>
        </is>
      </c>
      <c r="M55" s="14" t="inlineStr">
        <is>
          <t>Lifestyle</t>
        </is>
      </c>
    </row>
    <row r="56">
      <c r="A56" s="5" t="inlineStr">
        <is>
          <t>luxury concierge service los angeles</t>
        </is>
      </c>
      <c r="B56" s="5" t="inlineStr">
        <is>
          <t>US</t>
        </is>
      </c>
      <c r="C56" s="11" t="n">
        <v>150</v>
      </c>
      <c r="D56" s="5" t="n">
        <v>2</v>
      </c>
      <c r="E56" s="13" t="n">
        <v>1.9</v>
      </c>
      <c r="F56" s="5" t="n"/>
      <c r="G56" s="5" t="inlineStr"/>
      <c r="H56" s="5" t="n">
        <v>2</v>
      </c>
      <c r="I56" s="5" t="inlineStr">
        <is>
          <t>/locations/los-angeles-concierge-service</t>
        </is>
      </c>
      <c r="J56" s="5" t="n"/>
      <c r="K56" s="5" t="inlineStr"/>
      <c r="L56" s="5" t="inlineStr">
        <is>
          <t>KC</t>
        </is>
      </c>
      <c r="M56" s="5" t="inlineStr">
        <is>
          <t>City</t>
        </is>
      </c>
    </row>
    <row r="57">
      <c r="A57" s="14" t="inlineStr">
        <is>
          <t>family office concierge services</t>
        </is>
      </c>
      <c r="B57" s="14" t="inlineStr">
        <is>
          <t>US</t>
        </is>
      </c>
      <c r="C57" s="15" t="n">
        <v>150</v>
      </c>
      <c r="D57" s="14" t="n">
        <v>0</v>
      </c>
      <c r="E57" s="16" t="n">
        <v>9</v>
      </c>
      <c r="F57" s="14" t="n"/>
      <c r="G57" s="14" t="inlineStr"/>
      <c r="H57" s="14" t="n"/>
      <c r="I57" s="14" t="inlineStr"/>
      <c r="J57" s="14" t="n"/>
      <c r="K57" s="14" t="inlineStr"/>
      <c r="L57" s="14" t="inlineStr">
        <is>
          <t>Neither</t>
        </is>
      </c>
      <c r="M57" s="14" t="inlineStr">
        <is>
          <t>Corporate / family office</t>
        </is>
      </c>
    </row>
    <row r="58">
      <c r="A58" s="14" t="inlineStr">
        <is>
          <t>relocation concierge</t>
        </is>
      </c>
      <c r="B58" s="14" t="inlineStr">
        <is>
          <t>US</t>
        </is>
      </c>
      <c r="C58" s="15" t="n">
        <v>150</v>
      </c>
      <c r="D58" s="14" t="n">
        <v>0</v>
      </c>
      <c r="E58" s="16" t="n">
        <v>9</v>
      </c>
      <c r="F58" s="14" t="n"/>
      <c r="G58" s="14" t="inlineStr"/>
      <c r="H58" s="14" t="n"/>
      <c r="I58" s="14" t="inlineStr"/>
      <c r="J58" s="14" t="n"/>
      <c r="K58" s="14" t="inlineStr"/>
      <c r="L58" s="14" t="inlineStr">
        <is>
          <t>Neither</t>
        </is>
      </c>
      <c r="M58" s="14" t="inlineStr">
        <is>
          <t>Adjacent service</t>
        </is>
      </c>
    </row>
    <row r="59">
      <c r="A59" s="14" t="inlineStr">
        <is>
          <t>private jet concierge services</t>
        </is>
      </c>
      <c r="B59" s="14" t="inlineStr">
        <is>
          <t>US</t>
        </is>
      </c>
      <c r="C59" s="15" t="n">
        <v>150</v>
      </c>
      <c r="D59" s="14" t="n"/>
      <c r="E59" s="16" t="n">
        <v>1.4</v>
      </c>
      <c r="F59" s="14" t="n"/>
      <c r="G59" s="14" t="inlineStr"/>
      <c r="H59" s="14" t="n"/>
      <c r="I59" s="14" t="inlineStr"/>
      <c r="J59" s="14" t="n"/>
      <c r="K59" s="14" t="inlineStr"/>
      <c r="L59" s="14" t="inlineStr">
        <is>
          <t>Neither</t>
        </is>
      </c>
      <c r="M59" s="14" t="inlineStr">
        <is>
          <t>Adjacent service</t>
        </is>
      </c>
    </row>
    <row r="60">
      <c r="A60" s="14" t="inlineStr">
        <is>
          <t>vip concierge services</t>
        </is>
      </c>
      <c r="B60" s="14" t="inlineStr">
        <is>
          <t>US</t>
        </is>
      </c>
      <c r="C60" s="15" t="n">
        <v>150</v>
      </c>
      <c r="D60" s="14" t="n">
        <v>8</v>
      </c>
      <c r="E60" s="16" t="n">
        <v>2.5</v>
      </c>
      <c r="F60" s="14" t="n"/>
      <c r="G60" s="14" t="inlineStr"/>
      <c r="H60" s="14" t="n"/>
      <c r="I60" s="14" t="inlineStr"/>
      <c r="J60" s="14" t="n">
        <v>3</v>
      </c>
      <c r="K60" s="14" t="inlineStr">
        <is>
          <t>/vip-luxury-concierge</t>
        </is>
      </c>
      <c r="L60" s="14" t="inlineStr">
        <is>
          <t>SC</t>
        </is>
      </c>
      <c r="M60" s="14" t="inlineStr">
        <is>
          <t>VIP</t>
        </is>
      </c>
    </row>
    <row r="61">
      <c r="A61" s="14" t="inlineStr">
        <is>
          <t>lifestyle management concierge services</t>
        </is>
      </c>
      <c r="B61" s="14" t="inlineStr">
        <is>
          <t>US</t>
        </is>
      </c>
      <c r="C61" s="15" t="n">
        <v>150</v>
      </c>
      <c r="D61" s="14" t="n">
        <v>20</v>
      </c>
      <c r="E61" s="16" t="n">
        <v>5</v>
      </c>
      <c r="F61" s="14" t="n"/>
      <c r="G61" s="14" t="inlineStr"/>
      <c r="H61" s="14" t="n"/>
      <c r="I61" s="14" t="inlineStr"/>
      <c r="J61" s="14" t="n">
        <v>3</v>
      </c>
      <c r="K61" s="14" t="inlineStr">
        <is>
          <t>/luxury-lifestyle-concierge</t>
        </is>
      </c>
      <c r="L61" s="14" t="inlineStr">
        <is>
          <t>SC</t>
        </is>
      </c>
      <c r="M61" s="14" t="inlineStr">
        <is>
          <t>Lifestyle</t>
        </is>
      </c>
    </row>
    <row r="62">
      <c r="A62" s="14" t="inlineStr">
        <is>
          <t>best concierge</t>
        </is>
      </c>
      <c r="B62" s="14" t="inlineStr">
        <is>
          <t>US</t>
        </is>
      </c>
      <c r="C62" s="15" t="n">
        <v>150</v>
      </c>
      <c r="D62" s="14" t="n">
        <v>0</v>
      </c>
      <c r="E62" s="16" t="n">
        <v>1.6</v>
      </c>
      <c r="F62" s="14" t="n"/>
      <c r="G62" s="14" t="inlineStr"/>
      <c r="H62" s="14" t="n">
        <v>7</v>
      </c>
      <c r="I62" s="14" t="inlineStr">
        <is>
          <t>/locations/new-york-concierge-service</t>
        </is>
      </c>
      <c r="J62" s="14" t="n">
        <v>3</v>
      </c>
      <c r="K62" s="14" t="inlineStr">
        <is>
          <t>/vip-luxury-concierge</t>
        </is>
      </c>
      <c r="L62" s="14" t="inlineStr">
        <is>
          <t>SC</t>
        </is>
      </c>
      <c r="M62" s="14" t="inlineStr">
        <is>
          <t>Generic concierge</t>
        </is>
      </c>
    </row>
    <row r="63">
      <c r="A63" s="14" t="inlineStr">
        <is>
          <t>vip concierge service</t>
        </is>
      </c>
      <c r="B63" s="14" t="inlineStr">
        <is>
          <t>US</t>
        </is>
      </c>
      <c r="C63" s="15" t="n">
        <v>100</v>
      </c>
      <c r="D63" s="14" t="n">
        <v>12</v>
      </c>
      <c r="E63" s="16" t="n">
        <v>1.9</v>
      </c>
      <c r="F63" s="14" t="n">
        <v>500</v>
      </c>
      <c r="G63" s="14" t="inlineStr">
        <is>
          <t>PAA</t>
        </is>
      </c>
      <c r="H63" s="14" t="n"/>
      <c r="I63" s="14" t="inlineStr"/>
      <c r="J63" s="14" t="n">
        <v>1</v>
      </c>
      <c r="K63" s="14" t="inlineStr">
        <is>
          <t>/vip-luxury-concierge</t>
        </is>
      </c>
      <c r="L63" s="14" t="inlineStr">
        <is>
          <t>SC</t>
        </is>
      </c>
      <c r="M63" s="14" t="inlineStr">
        <is>
          <t>VIP</t>
        </is>
      </c>
    </row>
    <row r="64">
      <c r="A64" s="14" t="inlineStr">
        <is>
          <t>concierge membership</t>
        </is>
      </c>
      <c r="B64" s="14" t="inlineStr">
        <is>
          <t>US</t>
        </is>
      </c>
      <c r="C64" s="15" t="n">
        <v>100</v>
      </c>
      <c r="D64" s="14" t="n">
        <v>8</v>
      </c>
      <c r="E64" s="16" t="n">
        <v>1.3</v>
      </c>
      <c r="F64" s="14" t="n">
        <v>70</v>
      </c>
      <c r="G64" s="14" t="inlineStr">
        <is>
          <t>PAA, sitelinks</t>
        </is>
      </c>
      <c r="H64" s="14" t="n"/>
      <c r="I64" s="14" t="inlineStr"/>
      <c r="J64" s="14" t="n"/>
      <c r="K64" s="14" t="inlineStr"/>
      <c r="L64" s="14" t="inlineStr">
        <is>
          <t>Neither</t>
        </is>
      </c>
      <c r="M64" s="14" t="inlineStr">
        <is>
          <t>Membership</t>
        </is>
      </c>
    </row>
    <row r="65">
      <c r="A65" s="14" t="inlineStr">
        <is>
          <t>lifestyle management company</t>
        </is>
      </c>
      <c r="B65" s="14" t="inlineStr">
        <is>
          <t>US</t>
        </is>
      </c>
      <c r="C65" s="15" t="n">
        <v>100</v>
      </c>
      <c r="D65" s="14" t="n">
        <v>0</v>
      </c>
      <c r="E65" s="16" t="n">
        <v>0.08</v>
      </c>
      <c r="F65" s="14" t="n">
        <v>20</v>
      </c>
      <c r="G65" s="14" t="inlineStr">
        <is>
          <t>local pack, PAA</t>
        </is>
      </c>
      <c r="H65" s="14" t="n"/>
      <c r="I65" s="14" t="inlineStr"/>
      <c r="J65" s="14" t="n"/>
      <c r="K65" s="14" t="inlineStr"/>
      <c r="L65" s="14" t="inlineStr">
        <is>
          <t>Neither</t>
        </is>
      </c>
      <c r="M65" s="14" t="inlineStr">
        <is>
          <t>Lifestyle</t>
        </is>
      </c>
    </row>
    <row r="66">
      <c r="A66" s="5" t="inlineStr">
        <is>
          <t>high end concierge services</t>
        </is>
      </c>
      <c r="B66" s="5" t="inlineStr">
        <is>
          <t>US</t>
        </is>
      </c>
      <c r="C66" s="11" t="n">
        <v>100</v>
      </c>
      <c r="D66" s="5" t="n">
        <v>3</v>
      </c>
      <c r="E66" s="13" t="n"/>
      <c r="F66" s="5" t="n"/>
      <c r="G66" s="5" t="inlineStr"/>
      <c r="H66" s="5" t="n">
        <v>4</v>
      </c>
      <c r="I66" s="5" t="inlineStr">
        <is>
          <t>/locations/miami-luxury-concierge</t>
        </is>
      </c>
      <c r="J66" s="5" t="n">
        <v>5</v>
      </c>
      <c r="K66" s="5" t="inlineStr">
        <is>
          <t>/vip-luxury-concierge</t>
        </is>
      </c>
      <c r="L66" s="5" t="inlineStr">
        <is>
          <t>KC</t>
        </is>
      </c>
      <c r="M66" s="5" t="inlineStr">
        <is>
          <t>Generic concierge</t>
        </is>
      </c>
    </row>
    <row r="67">
      <c r="A67" s="14" t="inlineStr">
        <is>
          <t>luxury personal concierge services</t>
        </is>
      </c>
      <c r="B67" s="14" t="inlineStr">
        <is>
          <t>US</t>
        </is>
      </c>
      <c r="C67" s="15" t="n">
        <v>100</v>
      </c>
      <c r="D67" s="14" t="n">
        <v>3</v>
      </c>
      <c r="E67" s="16" t="n">
        <v>1</v>
      </c>
      <c r="F67" s="14" t="n"/>
      <c r="G67" s="14" t="inlineStr"/>
      <c r="H67" s="14" t="n">
        <v>9</v>
      </c>
      <c r="I67" s="14" t="inlineStr">
        <is>
          <t>/locations/miami-luxury-concierge</t>
        </is>
      </c>
      <c r="J67" s="14" t="n">
        <v>3</v>
      </c>
      <c r="K67" s="14" t="inlineStr">
        <is>
          <t>/vip-luxury-concierge</t>
        </is>
      </c>
      <c r="L67" s="14" t="inlineStr">
        <is>
          <t>SC</t>
        </is>
      </c>
      <c r="M67" s="14" t="inlineStr">
        <is>
          <t>Generic concierge</t>
        </is>
      </c>
    </row>
    <row r="68">
      <c r="A68" s="14" t="inlineStr">
        <is>
          <t>concierge companies</t>
        </is>
      </c>
      <c r="B68" s="14" t="inlineStr">
        <is>
          <t>US</t>
        </is>
      </c>
      <c r="C68" s="15" t="n">
        <v>100</v>
      </c>
      <c r="D68" s="14" t="n">
        <v>6</v>
      </c>
      <c r="E68" s="16" t="n">
        <v>1.8</v>
      </c>
      <c r="F68" s="14" t="n"/>
      <c r="G68" s="14" t="inlineStr"/>
      <c r="H68" s="14" t="n"/>
      <c r="I68" s="14" t="inlineStr"/>
      <c r="J68" s="14" t="n"/>
      <c r="K68" s="14" t="inlineStr"/>
      <c r="L68" s="14" t="inlineStr">
        <is>
          <t>Neither</t>
        </is>
      </c>
      <c r="M68" s="14" t="inlineStr">
        <is>
          <t>Generic concierge</t>
        </is>
      </c>
    </row>
    <row r="69">
      <c r="A69" s="14" t="inlineStr">
        <is>
          <t>elite concierge service</t>
        </is>
      </c>
      <c r="B69" s="14" t="inlineStr">
        <is>
          <t>US</t>
        </is>
      </c>
      <c r="C69" s="15" t="n">
        <v>100</v>
      </c>
      <c r="D69" s="14" t="n"/>
      <c r="E69" s="16" t="n">
        <v>2.5</v>
      </c>
      <c r="F69" s="14" t="n"/>
      <c r="G69" s="14" t="inlineStr"/>
      <c r="H69" s="14" t="n"/>
      <c r="I69" s="14" t="inlineStr"/>
      <c r="J69" s="14" t="n"/>
      <c r="K69" s="14" t="inlineStr"/>
      <c r="L69" s="14" t="inlineStr">
        <is>
          <t>Neither</t>
        </is>
      </c>
      <c r="M69" s="14" t="inlineStr">
        <is>
          <t>VIP</t>
        </is>
      </c>
    </row>
    <row r="70">
      <c r="A70" s="14" t="inlineStr">
        <is>
          <t>executive concierge</t>
        </is>
      </c>
      <c r="B70" s="14" t="inlineStr">
        <is>
          <t>US</t>
        </is>
      </c>
      <c r="C70" s="15" t="n">
        <v>100</v>
      </c>
      <c r="D70" s="14" t="n">
        <v>0</v>
      </c>
      <c r="E70" s="16" t="n">
        <v>0.7</v>
      </c>
      <c r="F70" s="14" t="n"/>
      <c r="G70" s="14" t="inlineStr"/>
      <c r="H70" s="14" t="n"/>
      <c r="I70" s="14" t="inlineStr"/>
      <c r="J70" s="14" t="n"/>
      <c r="K70" s="14" t="inlineStr"/>
      <c r="L70" s="14" t="inlineStr">
        <is>
          <t>Neither</t>
        </is>
      </c>
      <c r="M70" s="14" t="inlineStr">
        <is>
          <t>Corporate / family office</t>
        </is>
      </c>
    </row>
    <row r="71">
      <c r="A71" s="5" t="inlineStr">
        <is>
          <t>concierge service new york</t>
        </is>
      </c>
      <c r="B71" s="5" t="inlineStr">
        <is>
          <t>US</t>
        </is>
      </c>
      <c r="C71" s="11" t="n">
        <v>100</v>
      </c>
      <c r="D71" s="5" t="n">
        <v>15</v>
      </c>
      <c r="E71" s="13" t="n"/>
      <c r="F71" s="5" t="n"/>
      <c r="G71" s="5" t="inlineStr"/>
      <c r="H71" s="5" t="n">
        <v>4</v>
      </c>
      <c r="I71" s="5" t="inlineStr">
        <is>
          <t>/locations/new-york-concierge-service</t>
        </is>
      </c>
      <c r="J71" s="5" t="n">
        <v>6</v>
      </c>
      <c r="K71" s="5" t="inlineStr">
        <is>
          <t>/vip-luxury-concierge</t>
        </is>
      </c>
      <c r="L71" s="5" t="inlineStr">
        <is>
          <t>KC</t>
        </is>
      </c>
      <c r="M71" s="5" t="inlineStr">
        <is>
          <t>City</t>
        </is>
      </c>
    </row>
    <row r="72">
      <c r="A72" s="5" t="inlineStr">
        <is>
          <t>knightsbridge circle</t>
        </is>
      </c>
      <c r="B72" s="5" t="inlineStr">
        <is>
          <t>US</t>
        </is>
      </c>
      <c r="C72" s="11" t="n">
        <v>70</v>
      </c>
      <c r="D72" s="5" t="n">
        <v>1</v>
      </c>
      <c r="E72" s="13" t="n"/>
      <c r="F72" s="5" t="n">
        <v>40</v>
      </c>
      <c r="G72" s="5" t="inlineStr">
        <is>
          <t>sitelinks, PAA, video</t>
        </is>
      </c>
      <c r="H72" s="5" t="n">
        <v>1</v>
      </c>
      <c r="I72" s="5" t="inlineStr">
        <is>
          <t>/</t>
        </is>
      </c>
      <c r="J72" s="5" t="n"/>
      <c r="K72" s="5" t="inlineStr"/>
      <c r="L72" s="5" t="inlineStr">
        <is>
          <t>KC</t>
        </is>
      </c>
      <c r="M72" s="5" t="inlineStr">
        <is>
          <t>Brand</t>
        </is>
      </c>
    </row>
    <row r="73">
      <c r="A73" s="5" t="inlineStr">
        <is>
          <t>best luxury concierge service</t>
        </is>
      </c>
      <c r="B73" s="5" t="inlineStr">
        <is>
          <t>US</t>
        </is>
      </c>
      <c r="C73" s="11" t="n">
        <v>30</v>
      </c>
      <c r="D73" s="5" t="n">
        <v>0</v>
      </c>
      <c r="E73" s="13" t="n"/>
      <c r="F73" s="5" t="n"/>
      <c r="G73" s="5" t="inlineStr"/>
      <c r="H73" s="5" t="n">
        <v>5</v>
      </c>
      <c r="I73" s="5" t="inlineStr">
        <is>
          <t>/locations/miami-luxury-concierge</t>
        </is>
      </c>
      <c r="J73" s="5" t="n"/>
      <c r="K73" s="5" t="inlineStr"/>
      <c r="L73" s="5" t="inlineStr">
        <is>
          <t>KC</t>
        </is>
      </c>
      <c r="M73" s="5" t="inlineStr">
        <is>
          <t>Generic concierge</t>
        </is>
      </c>
    </row>
    <row r="75">
      <c r="A75" s="8" t="inlineStr">
        <is>
          <t>Summary formulas</t>
        </is>
      </c>
    </row>
    <row r="76">
      <c r="A76" t="inlineStr">
        <is>
          <t>Terms where SC leads</t>
        </is>
      </c>
      <c r="C76" s="17">
        <f>COUNTIF(L3:L73,"SC")</f>
        <v/>
      </c>
    </row>
    <row r="77">
      <c r="A77" t="inlineStr">
        <is>
          <t>Terms where KC leads</t>
        </is>
      </c>
      <c r="C77" s="17">
        <f>COUNTIF(L3:L73,"KC")</f>
        <v/>
      </c>
    </row>
    <row r="78">
      <c r="A78" t="inlineStr">
        <is>
          <t>Terms nobody ranks for (open demand)</t>
        </is>
      </c>
      <c r="C78" s="17">
        <f>COUNTIF(L3:L73,"Neither")</f>
        <v/>
      </c>
    </row>
    <row r="79">
      <c r="A79" t="inlineStr">
        <is>
          <t>Monthly volume where SC leads (US+GB)</t>
        </is>
      </c>
      <c r="C79" s="17">
        <f>SUMIF(L3:L73,"SC",C3:C73)</f>
        <v/>
      </c>
    </row>
    <row r="80">
      <c r="A80" t="inlineStr">
        <is>
          <t>Monthly volume where KC leads (US+GB)</t>
        </is>
      </c>
      <c r="C80" s="17">
        <f>SUMIF(L3:L73,"KC",C3:C73)</f>
        <v/>
      </c>
    </row>
    <row r="81">
      <c r="A81" t="inlineStr">
        <is>
          <t>Open demand volume (nobody ranks, excl. brands)</t>
        </is>
      </c>
      <c r="C81" s="17">
        <f>SUMIFS(C3:C73,L3:L73,"Neither",M3:M73,"&lt;&gt;Brand")</f>
        <v/>
      </c>
    </row>
  </sheetData>
  <autoFilter ref="A2:M73"/>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26"/>
  <sheetViews>
    <sheetView workbookViewId="0">
      <pane ySplit="2" topLeftCell="A3" activePane="bottomLeft" state="frozen"/>
      <selection pane="bottomLeft" activeCell="A1" sqref="A1"/>
    </sheetView>
  </sheetViews>
  <sheetFormatPr baseColWidth="8" defaultRowHeight="15"/>
  <cols>
    <col width="52" customWidth="1" min="1" max="1"/>
    <col width="12" customWidth="1" min="2" max="2"/>
    <col width="12" customWidth="1" min="3" max="3"/>
    <col width="40" customWidth="1" min="4" max="4"/>
    <col width="50" customWidth="1" min="5" max="5"/>
  </cols>
  <sheetData>
    <row r="1" ht="30" customHeight="1">
      <c r="A1" s="3" t="inlineStr">
        <is>
          <t>Ahrefs keywords-explorer overview (GB, US) and volume-by-country, 2026-09-01. Most "luxury concierge {city}" terms are tiny; the winnable local demand is London, New York, Los Angeles, Miami, Dubai (AE), Singapore (SG) and, for new pages, Paris, Monaco, Mykonos and Cannes. Amsterdam, Lisbon, Boston and Palm Beach show no measurable demand.</t>
        </is>
      </c>
    </row>
    <row r="2">
      <c r="A2" s="4" t="inlineStr">
        <is>
          <t>City / term set</t>
        </is>
      </c>
      <c r="B2" s="4" t="inlineStr">
        <is>
          <t>GB volume</t>
        </is>
      </c>
      <c r="C2" s="4" t="inlineStr">
        <is>
          <t>US volume</t>
        </is>
      </c>
      <c r="D2" s="4" t="inlineStr">
        <is>
          <t>Local-market volume</t>
        </is>
      </c>
      <c r="E2" s="4" t="inlineStr">
        <is>
          <t>KC page today</t>
        </is>
      </c>
    </row>
    <row r="3">
      <c r="A3" s="5" t="inlineStr">
        <is>
          <t>luxury concierge london / concierge service london</t>
        </is>
      </c>
      <c r="B3" s="5" t="n">
        <v>350</v>
      </c>
      <c r="C3" s="5" t="n">
        <v>10</v>
      </c>
      <c r="D3" s="5" t="inlineStr">
        <is>
          <t>GB 350</t>
        </is>
      </c>
      <c r="E3" s="5" t="inlineStr">
        <is>
          <t>Yes /locations/london-concierge-service (pos 5)</t>
        </is>
      </c>
    </row>
    <row r="4">
      <c r="A4" s="5" t="inlineStr">
        <is>
          <t>luxury concierge nyc / new york concierge services</t>
        </is>
      </c>
      <c r="B4" s="5" t="n">
        <v>20</v>
      </c>
      <c r="C4" s="5" t="n">
        <v>400</v>
      </c>
      <c r="D4" s="5" t="inlineStr">
        <is>
          <t>US 400+</t>
        </is>
      </c>
      <c r="E4" s="5" t="inlineStr">
        <is>
          <t>Yes /locations/new-york-concierge-service (pos 1-8)</t>
        </is>
      </c>
    </row>
    <row r="5">
      <c r="A5" s="5" t="inlineStr">
        <is>
          <t>luxury concierge los angeles / luxury concierge service los angeles</t>
        </is>
      </c>
      <c r="B5" s="5" t="n">
        <v>10</v>
      </c>
      <c r="C5" s="5" t="n">
        <v>350</v>
      </c>
      <c r="D5" s="5" t="inlineStr">
        <is>
          <t>US 350</t>
        </is>
      </c>
      <c r="E5" s="5" t="inlineStr">
        <is>
          <t>Yes /locations/los-angeles-concierge-service (pos 2)</t>
        </is>
      </c>
    </row>
    <row r="6">
      <c r="A6" s="5" t="inlineStr">
        <is>
          <t>luxury concierge miami / concierge services miami</t>
        </is>
      </c>
      <c r="B6" s="5" t="n">
        <v>0</v>
      </c>
      <c r="C6" s="5" t="n">
        <v>290</v>
      </c>
      <c r="D6" s="5" t="inlineStr">
        <is>
          <t>US 290</t>
        </is>
      </c>
      <c r="E6" s="5" t="inlineStr">
        <is>
          <t>Yes /locations/miami-luxury-concierge (pos 2-3)</t>
        </is>
      </c>
    </row>
    <row r="7">
      <c r="A7" s="5" t="inlineStr">
        <is>
          <t>luxury concierge dallas</t>
        </is>
      </c>
      <c r="B7" s="5" t="n">
        <v>0</v>
      </c>
      <c r="C7" s="5" t="n">
        <v>20</v>
      </c>
      <c r="D7" s="5" t="inlineStr">
        <is>
          <t>US 20</t>
        </is>
      </c>
      <c r="E7" s="5" t="inlineStr">
        <is>
          <t>Yes /locations/luxury-concierge-dallas</t>
        </is>
      </c>
    </row>
    <row r="8">
      <c r="A8" s="5" t="inlineStr">
        <is>
          <t>luxury concierge palm beach</t>
        </is>
      </c>
      <c r="B8" s="5" t="n">
        <v>0</v>
      </c>
      <c r="C8" s="5" t="n">
        <v>0</v>
      </c>
      <c r="D8" s="5" t="inlineStr">
        <is>
          <t>US &lt;10</t>
        </is>
      </c>
      <c r="E8" s="5" t="inlineStr">
        <is>
          <t>Yes /locations/luxury-concierge-palm-beach</t>
        </is>
      </c>
    </row>
    <row r="9">
      <c r="A9" s="5" t="inlineStr">
        <is>
          <t>luxury concierge boston</t>
        </is>
      </c>
      <c r="B9" s="5" t="n">
        <v>0</v>
      </c>
      <c r="C9" s="5" t="n">
        <v>0</v>
      </c>
      <c r="D9" s="5" t="inlineStr">
        <is>
          <t>US &lt;10</t>
        </is>
      </c>
      <c r="E9" s="5" t="inlineStr">
        <is>
          <t>Yes /locations/boston-concierge-service</t>
        </is>
      </c>
    </row>
    <row r="10">
      <c r="A10" s="5" t="inlineStr">
        <is>
          <t>luxury concierge dubai / concierge service dubai</t>
        </is>
      </c>
      <c r="B10" s="5" t="n">
        <v>60</v>
      </c>
      <c r="C10" s="5" t="n">
        <v>50</v>
      </c>
      <c r="D10" s="5" t="inlineStr">
        <is>
          <t>AE 150 + 70</t>
        </is>
      </c>
      <c r="E10" s="5" t="inlineStr">
        <is>
          <t>Yes /locations/dubai-concierge-service (not ranking)</t>
        </is>
      </c>
    </row>
    <row r="11">
      <c r="A11" s="5" t="inlineStr">
        <is>
          <t>concierge service singapore</t>
        </is>
      </c>
      <c r="B11" s="5" t="n">
        <v>0</v>
      </c>
      <c r="C11" s="5" t="n">
        <v>0</v>
      </c>
      <c r="D11" s="5" t="inlineStr">
        <is>
          <t>SG 100</t>
        </is>
      </c>
      <c r="E11" s="5" t="inlineStr">
        <is>
          <t>Yes /locations/singapore-concierge-service (not ranking)</t>
        </is>
      </c>
    </row>
    <row r="12">
      <c r="A12" s="5" t="inlineStr">
        <is>
          <t>luxury concierge amsterdam</t>
        </is>
      </c>
      <c r="B12" s="5" t="n">
        <v>0</v>
      </c>
      <c r="C12" s="5" t="n">
        <v>0</v>
      </c>
      <c r="D12" s="5" t="inlineStr">
        <is>
          <t>NL n/a</t>
        </is>
      </c>
      <c r="E12" s="5" t="inlineStr">
        <is>
          <t>Yes /locations/amsterdam-concierge-service</t>
        </is>
      </c>
    </row>
    <row r="13">
      <c r="A13" s="5" t="inlineStr">
        <is>
          <t>luxury concierge lisbon</t>
        </is>
      </c>
      <c r="B13" s="5" t="n">
        <v>0</v>
      </c>
      <c r="C13" s="5" t="n">
        <v>0</v>
      </c>
      <c r="D13" s="5" t="inlineStr">
        <is>
          <t>PT n/a</t>
        </is>
      </c>
      <c r="E13" s="5" t="inlineStr">
        <is>
          <t>Yes /locations/lisbon-concierge-service</t>
        </is>
      </c>
    </row>
    <row r="14">
      <c r="A14" s="14" t="inlineStr">
        <is>
          <t>luxury concierge paris / private concierge paris</t>
        </is>
      </c>
      <c r="B14" s="14" t="n">
        <v>100</v>
      </c>
      <c r="C14" s="14" t="n">
        <v>60</v>
      </c>
      <c r="D14" s="14" t="inlineStr">
        <is>
          <t>FR 70</t>
        </is>
      </c>
      <c r="E14" s="14" t="inlineStr">
        <is>
          <t>No</t>
        </is>
      </c>
    </row>
    <row r="15">
      <c r="A15" s="14" t="inlineStr">
        <is>
          <t>luxury concierge monaco</t>
        </is>
      </c>
      <c r="B15" s="14" t="n">
        <v>40</v>
      </c>
      <c r="C15" s="14" t="n">
        <v>50</v>
      </c>
      <c r="D15" s="14" t="inlineStr">
        <is>
          <t>n/a</t>
        </is>
      </c>
      <c r="E15" s="14" t="inlineStr">
        <is>
          <t>No</t>
        </is>
      </c>
    </row>
    <row r="16">
      <c r="A16" s="14" t="inlineStr">
        <is>
          <t>luxury concierge mykonos / vip concierge mykonos</t>
        </is>
      </c>
      <c r="B16" s="14" t="n">
        <v>140</v>
      </c>
      <c r="C16" s="14" t="n">
        <v>90</v>
      </c>
      <c r="D16" s="14" t="inlineStr">
        <is>
          <t>n/a</t>
        </is>
      </c>
      <c r="E16" s="14" t="inlineStr">
        <is>
          <t>No</t>
        </is>
      </c>
    </row>
    <row r="17">
      <c r="A17" s="14" t="inlineStr">
        <is>
          <t>luxury concierge cannes</t>
        </is>
      </c>
      <c r="B17" s="14" t="n">
        <v>40</v>
      </c>
      <c r="C17" s="14" t="n">
        <v>50</v>
      </c>
      <c r="D17" s="14" t="inlineStr">
        <is>
          <t>n/a</t>
        </is>
      </c>
      <c r="E17" s="14" t="inlineStr">
        <is>
          <t>No</t>
        </is>
      </c>
    </row>
    <row r="18">
      <c r="A18" s="5" t="inlineStr">
        <is>
          <t>luxury concierge ibiza</t>
        </is>
      </c>
      <c r="B18" s="5" t="n">
        <v>20</v>
      </c>
      <c r="C18" s="5" t="n">
        <v>0</v>
      </c>
      <c r="D18" s="5" t="inlineStr">
        <is>
          <t>n/a</t>
        </is>
      </c>
      <c r="E18" s="5" t="inlineStr">
        <is>
          <t>No</t>
        </is>
      </c>
    </row>
    <row r="19">
      <c r="A19" s="5" t="inlineStr">
        <is>
          <t>luxury concierge courchevel</t>
        </is>
      </c>
      <c r="B19" s="5" t="n">
        <v>10</v>
      </c>
      <c r="C19" s="5" t="n">
        <v>10</v>
      </c>
      <c r="D19" s="5" t="inlineStr">
        <is>
          <t>n/a</t>
        </is>
      </c>
      <c r="E19" s="5" t="inlineStr">
        <is>
          <t>No</t>
        </is>
      </c>
    </row>
    <row r="20">
      <c r="A20" s="14" t="inlineStr">
        <is>
          <t>luxury concierge aspen (aspen luxury concierge)</t>
        </is>
      </c>
      <c r="B20" s="14" t="n">
        <v>0</v>
      </c>
      <c r="C20" s="14" t="n">
        <v>150</v>
      </c>
      <c r="D20" s="14" t="inlineStr">
        <is>
          <t>US 150 (competitor brand)</t>
        </is>
      </c>
      <c r="E20" s="14" t="inlineStr">
        <is>
          <t>No</t>
        </is>
      </c>
    </row>
    <row r="21">
      <c r="A21" s="5" t="inlineStr">
        <is>
          <t>luxury concierge las vegas / best concierge las vegas</t>
        </is>
      </c>
      <c r="B21" s="5" t="n">
        <v>0</v>
      </c>
      <c r="C21" s="5" t="n">
        <v>30</v>
      </c>
      <c r="D21" s="5" t="inlineStr">
        <is>
          <t>US 30</t>
        </is>
      </c>
      <c r="E21" s="5" t="inlineStr">
        <is>
          <t>No</t>
        </is>
      </c>
    </row>
    <row r="22">
      <c r="A22" s="5" t="inlineStr">
        <is>
          <t>luxury concierge geneva / zurich</t>
        </is>
      </c>
      <c r="B22" s="5" t="n">
        <v>0</v>
      </c>
      <c r="C22" s="5" t="n">
        <v>0</v>
      </c>
      <c r="D22" s="5" t="inlineStr">
        <is>
          <t>CH: 'luxury travel concierge' 150</t>
        </is>
      </c>
      <c r="E22" s="5" t="inlineStr">
        <is>
          <t>No</t>
        </is>
      </c>
    </row>
    <row r="23">
      <c r="A23" s="5" t="inlineStr">
        <is>
          <t>luxury concierge hong kong</t>
        </is>
      </c>
      <c r="B23" s="5" t="n">
        <v>0</v>
      </c>
      <c r="C23" s="5" t="n">
        <v>0</v>
      </c>
      <c r="D23" s="5" t="inlineStr">
        <is>
          <t>HK: 'luxury concierge' 50</t>
        </is>
      </c>
      <c r="E23" s="5" t="inlineStr">
        <is>
          <t>No</t>
        </is>
      </c>
    </row>
    <row r="24">
      <c r="A24" s="5" t="inlineStr">
        <is>
          <t>luxury concierge (bare) by country</t>
        </is>
      </c>
      <c r="B24" s="5" t="inlineStr">
        <is>
          <t>GB 350</t>
        </is>
      </c>
      <c r="C24" s="5" t="inlineStr">
        <is>
          <t>US 600</t>
        </is>
      </c>
      <c r="D24" s="5" t="inlineStr">
        <is>
          <t>IT 600, AE 100, FR 90, AU 80, CA 70, IN 60, ES 50, HK 50, NL 40</t>
        </is>
      </c>
      <c r="E24" s="5" t="inlineStr">
        <is>
          <t>Bare term ownership: Quintessentially / SC</t>
        </is>
      </c>
    </row>
    <row r="26" ht="45" customHeight="1">
      <c r="A26" s="3" t="inlineStr">
        <is>
          <t>Bare "luxury concierge" by country (Ahrefs volume-by-country): IT 600, US 600, GB 350, AE 100, FR 90, AU 80, CA 70, IN 60, ES 50, HK 50, NL 40, DE 20. "luxury travel concierge": US 600, CH 150, GB 100, AE 30. "lifestyle concierge": US 350, GB 200, CA 90, AU 60, IN 50, AE 40, HK 40. Italian demand is a surprise worth a look (Milan, Lake Como, Amalfi).</t>
        </is>
      </c>
    </row>
  </sheetData>
  <autoFilter ref="A2:E24"/>
  <mergeCells count="2">
    <mergeCell ref="A1:E1"/>
    <mergeCell ref="A26:E26"/>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11"/>
  <sheetViews>
    <sheetView workbookViewId="0">
      <pane ySplit="2" topLeftCell="A3" activePane="bottomLeft" state="frozen"/>
      <selection pane="bottomLeft" activeCell="A1" sqref="A1"/>
    </sheetView>
  </sheetViews>
  <sheetFormatPr baseColWidth="8" defaultRowHeight="15"/>
  <cols>
    <col width="26" customWidth="1" min="1" max="1"/>
    <col width="70" customWidth="1" min="2" max="2"/>
    <col width="45" customWidth="1" min="3" max="3"/>
    <col width="60" customWidth="1" min="4" max="4"/>
  </cols>
  <sheetData>
    <row r="1" ht="30" customHeight="1">
      <c r="A1" s="3" t="inlineStr">
        <is>
          <t>From an Ahrefs matching-terms sweep of "concierge" (US vol&gt;=70, GB vol&gt;=30) with luxury/lifestyle/private/vip/travel/corporate/family office/yacht/jet/relocation filters. Medical, cruise, credit-card and jobs noise removed by hand.</t>
        </is>
      </c>
    </row>
    <row r="2">
      <c r="A2" s="4" t="inlineStr">
        <is>
          <t>Sector / service line</t>
        </is>
      </c>
      <c r="B2" s="4" t="inlineStr">
        <is>
          <t>Demand (keyword, volume, KD)</t>
        </is>
      </c>
      <c r="C2" s="4" t="inlineStr">
        <is>
          <t>Who owns it today</t>
        </is>
      </c>
      <c r="D2" s="4" t="inlineStr">
        <is>
          <t>Recommended page / action</t>
        </is>
      </c>
    </row>
    <row r="3">
      <c r="A3" s="14" t="inlineStr">
        <is>
          <t>Travel concierge</t>
        </is>
      </c>
      <c r="B3" s="14" t="inlineStr">
        <is>
          <t>travel concierge (700 US KD41 / 200 GB KD3), luxury travel concierge (600 US KD5 / 100 GB), travel concierge services (450 US), private travel concierge (150 US / 100 GB), bespoke travel concierge (100 GB), business travel concierge services (80 US / 100 GB)</t>
        </is>
      </c>
      <c r="C3" s="14" t="inlineStr">
        <is>
          <t>SC #1 US on luxury travel concierge. KC /luxury-travel-concierge not ranking for anything except brand.</t>
        </is>
      </c>
      <c r="D3" s="14" t="inlineStr">
        <is>
          <t>Rewrite KC travel page to target 'luxury travel concierge' + 'private travel concierge'; add FAQ + Service schema.</t>
        </is>
      </c>
    </row>
    <row r="4">
      <c r="A4" s="14" t="inlineStr">
        <is>
          <t>Corporate / executive</t>
        </is>
      </c>
      <c r="B4" s="14" t="inlineStr">
        <is>
          <t>corporate concierge services (300 US), corporate concierge (300 US / 200 GB), corporate concierge companies (150 GB), executive concierge (100 US), business concierge services (90 US)</t>
        </is>
      </c>
      <c r="C4" s="14" t="inlineStr">
        <is>
          <t>KC NY page already ranks 2-4 (accidentally). Nobody owns it.</t>
        </is>
      </c>
      <c r="D4" s="14" t="inlineStr">
        <is>
          <t>New /corporate-concierge page (family office + executive). Cheap win.</t>
        </is>
      </c>
    </row>
    <row r="5">
      <c r="A5" s="14" t="inlineStr">
        <is>
          <t>Family office / wealth</t>
        </is>
      </c>
      <c r="B5" s="14" t="inlineStr">
        <is>
          <t>family office concierge services (150 US, CPC $9), lifestyle management company (100 US/GB), lifestyle management concierge services (150 US / 100 GB), elite lifestyle management</t>
        </is>
      </c>
      <c r="C5" s="14" t="inlineStr">
        <is>
          <t>Unowned. CPC $9 signals buyer value.</t>
        </is>
      </c>
      <c r="D5" s="14" t="inlineStr">
        <is>
          <t>New /family-office-concierge page; ties to KC's 'extension of your personal office' positioning.</t>
        </is>
      </c>
    </row>
    <row r="6">
      <c r="A6" s="14" t="inlineStr">
        <is>
          <t>VIP / celebrity / sports &amp; entertainment</t>
        </is>
      </c>
      <c r="B6" s="14" t="inlineStr">
        <is>
          <t>vip concierge (400 US / 100 GB), vip concierge service(s) (100-150 both), celebrity concierge (60 GB), sports hospitality</t>
        </is>
      </c>
      <c r="C6" s="14" t="inlineStr">
        <is>
          <t>SC #1 US vip concierge service. KC has new Sport &amp; Entertainment Ltd entity (Mar 2026).</t>
        </is>
      </c>
      <c r="D6" s="14" t="inlineStr">
        <is>
          <t>New /vip-concierge or /sport-entertainment page for the new entity; F1, Wimbledon, Masters, Super Bowl access.</t>
        </is>
      </c>
    </row>
    <row r="7">
      <c r="A7" s="5" t="inlineStr">
        <is>
          <t>Yacht / jet</t>
        </is>
      </c>
      <c r="B7" s="5" t="inlineStr">
        <is>
          <t>yacht concierge services (200 US / 100 GB), luxury yacht concierge (100 US / 80 GB), private jet concierge services (150 US)</t>
        </is>
      </c>
      <c r="C7" s="5" t="inlineStr">
        <is>
          <t>Unowned by concierge firms; charter brokers rank.</t>
        </is>
      </c>
      <c r="D7" s="5" t="inlineStr">
        <is>
          <t>Access-style pages: /access/private-jet, /access/yacht-charter linking to travel page.</t>
        </is>
      </c>
    </row>
    <row r="8">
      <c r="A8" s="5" t="inlineStr">
        <is>
          <t>Relocation</t>
        </is>
      </c>
      <c r="B8" s="5" t="inlineStr">
        <is>
          <t>relocation concierge (150 US CPC $9 / 70 GB), relocation concierge services (100 US / 60 GB), concierge relocation services (100 US)</t>
        </is>
      </c>
      <c r="C8" s="5" t="inlineStr">
        <is>
          <t>Unowned. Fits London / Dubai / Miami location pages.</t>
        </is>
      </c>
      <c r="D8" s="5" t="inlineStr">
        <is>
          <t>Section on location pages + one /relocation-concierge hub.</t>
        </is>
      </c>
    </row>
    <row r="9">
      <c r="A9" s="5" t="inlineStr">
        <is>
          <t>Personal / private</t>
        </is>
      </c>
      <c r="B9" s="5" t="inlineStr">
        <is>
          <t>personal concierge services (1000 US KD1 / 150 GB), personal concierge (800 US / 300 GB), private concierge (400 US / 250 GB), private concierge services (60 GB)</t>
        </is>
      </c>
      <c r="C9" s="5" t="inlineStr">
        <is>
          <t>SC #1 US private concierge. Generic, lower intent, worth a section not a page.</t>
        </is>
      </c>
      <c r="D9" s="5" t="inlineStr">
        <is>
          <t>Fold into homepage / London page copy; do not build a new page.</t>
        </is>
      </c>
    </row>
    <row r="10">
      <c r="A10" s="5" t="inlineStr">
        <is>
          <t>Airport / arrival</t>
        </is>
      </c>
      <c r="B10" s="5" t="inlineStr">
        <is>
          <t>vip airport concierge heathrow/gatwick (60-70 GB each), best airport concierge service (100 GB)</t>
        </is>
      </c>
      <c r="C10" s="5" t="inlineStr">
        <is>
          <t>Airport-specific vendors own it.</t>
        </is>
      </c>
      <c r="D10" s="5" t="inlineStr">
        <is>
          <t>Do not fight; mention within travel page.</t>
        </is>
      </c>
    </row>
    <row r="11">
      <c r="A11" s="5" t="inlineStr">
        <is>
          <t>Informational / AI-referral</t>
        </is>
      </c>
      <c r="B11" s="5" t="inlineStr">
        <is>
          <t>what is concierge service (1900 US), what does concierge service mean (500), what is a concierge service (400), what is the best luxury concierge service? (40), how much does 24/7 luxury concierge service cost? (40), how do i choose a premium concierge membership? (30), what is a lifestyle concierge (20), quintessentially concierge cost (70 GB)</t>
        </is>
      </c>
      <c r="C11" s="5" t="inlineStr">
        <is>
          <t>AI-assistant style long questions are appearing in Ahrefs = AI Overview/AI Mode fan-outs.</t>
        </is>
      </c>
      <c r="D11" s="5" t="inlineStr">
        <is>
          <t>Guide hub: 'What a luxury concierge does', 'How much does a concierge membership cost', 'How to choose', 'KC vs Quintessentially vs Sienna Charles'.</t>
        </is>
      </c>
    </row>
  </sheetData>
  <autoFilter ref="A2:D11"/>
  <mergeCells count="1">
    <mergeCell ref="A1:D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5"/>
  <sheetViews>
    <sheetView workbookViewId="0">
      <pane ySplit="2" topLeftCell="A3" activePane="bottomLeft" state="frozen"/>
      <selection pane="bottomLeft" activeCell="A1" sqref="A1"/>
    </sheetView>
  </sheetViews>
  <sheetFormatPr baseColWidth="8" defaultRowHeight="15"/>
  <cols>
    <col width="36" customWidth="1" min="1" max="1"/>
    <col width="10" customWidth="1" min="2" max="2"/>
    <col width="48" customWidth="1" min="3" max="3"/>
    <col width="10" customWidth="1" min="4" max="4"/>
    <col width="11" customWidth="1" min="5" max="5"/>
    <col width="7" customWidth="1" min="6" max="6"/>
  </cols>
  <sheetData>
    <row r="1" ht="30" customHeight="1">
      <c r="A1" s="3" t="inlineStr">
        <is>
          <t>Ahrefs site-explorer organic keywords, 2026-09-01, ordered by estimated traffic. "(old URL)" = pre-migration flat URL still credited by Ahrefs; it 301s to the new path.</t>
        </is>
      </c>
    </row>
    <row r="2">
      <c r="A2" s="4" t="inlineStr">
        <is>
          <t>Keyword</t>
        </is>
      </c>
      <c r="B2" s="4" t="inlineStr">
        <is>
          <t>Best position</t>
        </is>
      </c>
      <c r="C2" s="4" t="inlineStr">
        <is>
          <t>URL</t>
        </is>
      </c>
      <c r="D2" s="4" t="inlineStr">
        <is>
          <t>Volume</t>
        </is>
      </c>
      <c r="E2" s="4" t="inlineStr">
        <is>
          <t>Est. traffic</t>
        </is>
      </c>
      <c r="F2" s="4" t="inlineStr">
        <is>
          <t>KD</t>
        </is>
      </c>
    </row>
    <row r="3">
      <c r="A3" s="5" t="inlineStr">
        <is>
          <t>maximes nyc</t>
        </is>
      </c>
      <c r="B3" s="5" t="n">
        <v>4</v>
      </c>
      <c r="C3" s="5" t="inlineStr">
        <is>
          <t>/access/maximes-new-york</t>
        </is>
      </c>
      <c r="D3" s="11" t="n">
        <v>3400</v>
      </c>
      <c r="E3" s="11" t="n">
        <v>316</v>
      </c>
      <c r="F3" s="5" t="n">
        <v>0</v>
      </c>
    </row>
    <row r="4">
      <c r="A4" s="5" t="inlineStr">
        <is>
          <t>luxury concierge nyc</t>
        </is>
      </c>
      <c r="B4" s="5" t="n">
        <v>1</v>
      </c>
      <c r="C4" s="5" t="inlineStr">
        <is>
          <t>/locations/new-york-concierge-service</t>
        </is>
      </c>
      <c r="D4" s="11" t="n">
        <v>250</v>
      </c>
      <c r="E4" s="11" t="n">
        <v>89</v>
      </c>
      <c r="F4" s="5" t="n">
        <v>0</v>
      </c>
    </row>
    <row r="5">
      <c r="A5" s="5" t="inlineStr">
        <is>
          <t>lifestyle concierge services</t>
        </is>
      </c>
      <c r="B5" s="5" t="n">
        <v>1</v>
      </c>
      <c r="C5" s="5" t="inlineStr">
        <is>
          <t>/locations/new-york-concierge-service</t>
        </is>
      </c>
      <c r="D5" s="11" t="n">
        <v>200</v>
      </c>
      <c r="E5" s="11" t="n">
        <v>76</v>
      </c>
      <c r="F5" s="5" t="n">
        <v>0</v>
      </c>
    </row>
    <row r="6">
      <c r="A6" s="5" t="inlineStr">
        <is>
          <t>lifestyle management services</t>
        </is>
      </c>
      <c r="B6" s="5" t="n">
        <v>2</v>
      </c>
      <c r="C6" s="5" t="inlineStr">
        <is>
          <t>/locations/new-york-concierge-service</t>
        </is>
      </c>
      <c r="D6" s="11" t="n">
        <v>200</v>
      </c>
      <c r="E6" s="11" t="n">
        <v>76</v>
      </c>
      <c r="F6" s="5" t="n">
        <v>0</v>
      </c>
    </row>
    <row r="7">
      <c r="A7" s="5" t="inlineStr">
        <is>
          <t>luxury concierge miami</t>
        </is>
      </c>
      <c r="B7" s="5" t="n">
        <v>2</v>
      </c>
      <c r="C7" s="5" t="inlineStr">
        <is>
          <t>/miami-luxury-concierge (old URL)</t>
        </is>
      </c>
      <c r="D7" s="11" t="n">
        <v>200</v>
      </c>
      <c r="E7" s="11" t="n">
        <v>68</v>
      </c>
      <c r="F7" s="5" t="n">
        <v>2</v>
      </c>
    </row>
    <row r="8">
      <c r="A8" s="5" t="inlineStr">
        <is>
          <t>luxury concierge service los angeles</t>
        </is>
      </c>
      <c r="B8" s="5" t="n">
        <v>2</v>
      </c>
      <c r="C8" s="5" t="inlineStr">
        <is>
          <t>/locations/los-angeles-concierge-service</t>
        </is>
      </c>
      <c r="D8" s="11" t="n">
        <v>150</v>
      </c>
      <c r="E8" s="11" t="n">
        <v>57</v>
      </c>
      <c r="F8" s="5" t="n">
        <v>2</v>
      </c>
    </row>
    <row r="9">
      <c r="A9" s="5" t="inlineStr">
        <is>
          <t>concierge services los angeles</t>
        </is>
      </c>
      <c r="B9" s="5" t="n">
        <v>1</v>
      </c>
      <c r="C9" s="5" t="inlineStr">
        <is>
          <t>/locations/los-angeles-concierge-service</t>
        </is>
      </c>
      <c r="D9" s="11" t="n">
        <v>100</v>
      </c>
      <c r="E9" s="11" t="n">
        <v>35</v>
      </c>
      <c r="F9" s="5" t="n">
        <v>30</v>
      </c>
    </row>
    <row r="10">
      <c r="A10" s="5" t="inlineStr">
        <is>
          <t>business concierge services</t>
        </is>
      </c>
      <c r="B10" s="5" t="n">
        <v>2</v>
      </c>
      <c r="C10" s="5" t="inlineStr">
        <is>
          <t>/locations/new-york-concierge-service</t>
        </is>
      </c>
      <c r="D10" s="11" t="n">
        <v>90</v>
      </c>
      <c r="E10" s="11" t="n">
        <v>32</v>
      </c>
      <c r="F10" s="5" t="n">
        <v>0</v>
      </c>
    </row>
    <row r="11">
      <c r="A11" s="5" t="inlineStr">
        <is>
          <t>corporate concierge services</t>
        </is>
      </c>
      <c r="B11" s="5" t="n">
        <v>4</v>
      </c>
      <c r="C11" s="5" t="inlineStr">
        <is>
          <t>/locations/new-york-concierge-service</t>
        </is>
      </c>
      <c r="D11" s="11" t="n">
        <v>250</v>
      </c>
      <c r="E11" s="11" t="n">
        <v>31</v>
      </c>
      <c r="F11" s="5" t="n">
        <v>1</v>
      </c>
    </row>
    <row r="12">
      <c r="A12" s="5" t="inlineStr">
        <is>
          <t>knightsbridge circle</t>
        </is>
      </c>
      <c r="B12" s="5" t="n">
        <v>1</v>
      </c>
      <c r="C12" s="5" t="inlineStr">
        <is>
          <t>/</t>
        </is>
      </c>
      <c r="D12" s="11" t="n">
        <v>80</v>
      </c>
      <c r="E12" s="11" t="n">
        <v>30</v>
      </c>
      <c r="F12" s="5" t="n">
        <v>1</v>
      </c>
    </row>
    <row r="13">
      <c r="A13" s="5" t="inlineStr">
        <is>
          <t>concierge miami</t>
        </is>
      </c>
      <c r="B13" s="5" t="n">
        <v>4</v>
      </c>
      <c r="C13" s="5" t="inlineStr">
        <is>
          <t>/miami-luxury-concierge (old URL)</t>
        </is>
      </c>
      <c r="D13" s="11" t="n">
        <v>250</v>
      </c>
      <c r="E13" s="11" t="n">
        <v>28</v>
      </c>
      <c r="F13" s="5" t="n">
        <v>0</v>
      </c>
    </row>
    <row r="14">
      <c r="A14" s="5" t="inlineStr">
        <is>
          <t>concierge service nyc</t>
        </is>
      </c>
      <c r="B14" s="5" t="n">
        <v>3</v>
      </c>
      <c r="C14" s="5" t="inlineStr">
        <is>
          <t>/locations/new-york-concierge-service</t>
        </is>
      </c>
      <c r="D14" s="11" t="n">
        <v>70</v>
      </c>
      <c r="E14" s="11" t="n">
        <v>26</v>
      </c>
      <c r="F14" s="5" t="n">
        <v>24</v>
      </c>
    </row>
    <row r="15">
      <c r="A15" s="5" t="inlineStr">
        <is>
          <t>concierge services miami</t>
        </is>
      </c>
      <c r="B15" s="5" t="n">
        <v>3</v>
      </c>
      <c r="C15" s="5" t="inlineStr">
        <is>
          <t>/miami-luxury-concierge (old URL)</t>
        </is>
      </c>
      <c r="D15" s="11" t="n">
        <v>200</v>
      </c>
      <c r="E15" s="11" t="n">
        <v>25</v>
      </c>
      <c r="F15" s="5" t="n">
        <v>0</v>
      </c>
    </row>
    <row r="16">
      <c r="A16" s="5" t="inlineStr">
        <is>
          <t>concierge nyc</t>
        </is>
      </c>
      <c r="B16" s="5" t="n">
        <v>4</v>
      </c>
      <c r="C16" s="5" t="inlineStr">
        <is>
          <t>/locations</t>
        </is>
      </c>
      <c r="D16" s="11" t="n">
        <v>200</v>
      </c>
      <c r="E16" s="11" t="n">
        <v>23</v>
      </c>
      <c r="F16" s="5" t="n">
        <v>37</v>
      </c>
    </row>
    <row r="17">
      <c r="A17" s="5" t="inlineStr">
        <is>
          <t>concierge service los angeles</t>
        </is>
      </c>
      <c r="B17" s="5" t="n">
        <v>1</v>
      </c>
      <c r="C17" s="5" t="inlineStr">
        <is>
          <t>/locations/los-angeles-concierge-service</t>
        </is>
      </c>
      <c r="D17" s="11" t="n">
        <v>60</v>
      </c>
      <c r="E17" s="11" t="n">
        <v>22</v>
      </c>
      <c r="F17" s="5" t="n">
        <v>1</v>
      </c>
    </row>
    <row r="18">
      <c r="A18" s="5" t="inlineStr">
        <is>
          <t>luxury concierge services nyc</t>
        </is>
      </c>
      <c r="B18" s="5" t="n">
        <v>3</v>
      </c>
      <c r="C18" s="5" t="inlineStr">
        <is>
          <t>/locations/new-york-concierge-service</t>
        </is>
      </c>
      <c r="D18" s="11" t="n">
        <v>150</v>
      </c>
      <c r="E18" s="11" t="n">
        <v>20</v>
      </c>
      <c r="F18" s="5" t="n">
        <v>1</v>
      </c>
    </row>
    <row r="19">
      <c r="A19" s="5" t="inlineStr">
        <is>
          <t>nyc concierge</t>
        </is>
      </c>
      <c r="B19" s="5" t="n">
        <v>5</v>
      </c>
      <c r="C19" s="5" t="inlineStr">
        <is>
          <t>/locations</t>
        </is>
      </c>
      <c r="D19" s="11" t="n">
        <v>150</v>
      </c>
      <c r="E19" s="11" t="n">
        <v>16</v>
      </c>
      <c r="F19" s="5" t="n">
        <v>34</v>
      </c>
    </row>
    <row r="20">
      <c r="A20" s="5" t="inlineStr">
        <is>
          <t>new york concierge services</t>
        </is>
      </c>
      <c r="B20" s="5" t="n">
        <v>8</v>
      </c>
      <c r="C20" s="5" t="inlineStr">
        <is>
          <t>/locations/new-york-concierge-service</t>
        </is>
      </c>
      <c r="D20" s="11" t="n">
        <v>250</v>
      </c>
      <c r="E20" s="11" t="n">
        <v>15</v>
      </c>
      <c r="F20" s="5" t="n">
        <v>1</v>
      </c>
    </row>
    <row r="21">
      <c r="A21" s="5" t="inlineStr">
        <is>
          <t>luxury lifestyle concierge</t>
        </is>
      </c>
      <c r="B21" s="5" t="n">
        <v>7</v>
      </c>
      <c r="C21" s="5" t="inlineStr">
        <is>
          <t>/locations/luxury-concierge-dallas</t>
        </is>
      </c>
      <c r="D21" s="11" t="n">
        <v>300</v>
      </c>
      <c r="E21" s="11" t="n">
        <v>14</v>
      </c>
      <c r="F21" s="5" t="n">
        <v>1</v>
      </c>
    </row>
    <row r="22">
      <c r="A22" s="5" t="inlineStr">
        <is>
          <t>concierge service new york</t>
        </is>
      </c>
      <c r="B22" s="5" t="n">
        <v>4</v>
      </c>
      <c r="C22" s="5" t="inlineStr">
        <is>
          <t>/locations/new-york-concierge-service</t>
        </is>
      </c>
      <c r="D22" s="11" t="n">
        <v>100</v>
      </c>
      <c r="E22" s="11" t="n">
        <v>12</v>
      </c>
      <c r="F22" s="5" t="n">
        <v>15</v>
      </c>
    </row>
    <row r="23">
      <c r="A23" s="5" t="inlineStr">
        <is>
          <t>concierge services nyc</t>
        </is>
      </c>
      <c r="B23" s="5" t="n">
        <v>5</v>
      </c>
      <c r="C23" s="5" t="inlineStr">
        <is>
          <t>/locations/new-york-concierge-service</t>
        </is>
      </c>
      <c r="D23" s="11" t="n">
        <v>90</v>
      </c>
      <c r="E23" s="11" t="n">
        <v>10</v>
      </c>
      <c r="F23" s="5" t="n">
        <v>23</v>
      </c>
    </row>
    <row r="24">
      <c r="A24" s="5" t="inlineStr">
        <is>
          <t>high end concierge services</t>
        </is>
      </c>
      <c r="B24" s="5" t="n">
        <v>4</v>
      </c>
      <c r="C24" s="5" t="inlineStr">
        <is>
          <t>/locations/miami-luxury-concierge</t>
        </is>
      </c>
      <c r="D24" s="11" t="n">
        <v>100</v>
      </c>
      <c r="E24" s="11" t="n">
        <v>10</v>
      </c>
      <c r="F24" s="5" t="n">
        <v>3</v>
      </c>
    </row>
    <row r="25">
      <c r="A25" s="5" t="inlineStr">
        <is>
          <t>oswalds london</t>
        </is>
      </c>
      <c r="B25" s="5" t="n">
        <v>7</v>
      </c>
      <c r="C25" s="5" t="inlineStr">
        <is>
          <t>/oswalds-mayfair (old URL)</t>
        </is>
      </c>
      <c r="D25" s="11" t="n">
        <v>200</v>
      </c>
      <c r="E25" s="11" t="n">
        <v>10</v>
      </c>
      <c r="F25" s="5" t="n">
        <v>0</v>
      </c>
    </row>
    <row r="26">
      <c r="A26" s="5" t="inlineStr">
        <is>
          <t>luxury concierge service nyc</t>
        </is>
      </c>
      <c r="B26" s="5" t="n">
        <v>2</v>
      </c>
      <c r="C26" s="5" t="inlineStr">
        <is>
          <t>/locations/new-york-concierge-service</t>
        </is>
      </c>
      <c r="D26" s="11" t="n">
        <v>50</v>
      </c>
      <c r="E26" s="11" t="n">
        <v>9</v>
      </c>
      <c r="F26" s="5" t="n">
        <v>1</v>
      </c>
    </row>
    <row r="27">
      <c r="A27" s="5" t="inlineStr">
        <is>
          <t>best concierge</t>
        </is>
      </c>
      <c r="B27" s="5" t="n">
        <v>7</v>
      </c>
      <c r="C27" s="5" t="inlineStr">
        <is>
          <t>/locations/new-york-concierge-service</t>
        </is>
      </c>
      <c r="D27" s="11" t="n">
        <v>150</v>
      </c>
      <c r="E27" s="11" t="n">
        <v>8</v>
      </c>
      <c r="F27" s="5" t="n">
        <v>0</v>
      </c>
    </row>
    <row r="28">
      <c r="A28" s="5" t="inlineStr">
        <is>
          <t>concierge services new york</t>
        </is>
      </c>
      <c r="B28" s="5" t="n">
        <v>5</v>
      </c>
      <c r="C28" s="5" t="inlineStr">
        <is>
          <t>/locations/new-york-concierge-service</t>
        </is>
      </c>
      <c r="D28" s="11" t="n">
        <v>70</v>
      </c>
      <c r="E28" s="11" t="n">
        <v>8</v>
      </c>
      <c r="F28" s="5" t="n">
        <v>1</v>
      </c>
    </row>
    <row r="29">
      <c r="A29" s="5" t="inlineStr">
        <is>
          <t>concierge company new york</t>
        </is>
      </c>
      <c r="B29" s="5" t="n">
        <v>2</v>
      </c>
      <c r="C29" s="5" t="inlineStr">
        <is>
          <t>/locations/new-york-concierge-service</t>
        </is>
      </c>
      <c r="D29" s="11" t="n">
        <v>30</v>
      </c>
      <c r="E29" s="11" t="n">
        <v>7</v>
      </c>
      <c r="F29" s="5" t="n">
        <v>19</v>
      </c>
    </row>
    <row r="30">
      <c r="A30" s="5" t="inlineStr">
        <is>
          <t>the polo room</t>
        </is>
      </c>
      <c r="B30" s="5" t="n">
        <v>15</v>
      </c>
      <c r="C30" s="5" t="inlineStr">
        <is>
          <t>/access/the-polo-room-palm-beach</t>
        </is>
      </c>
      <c r="D30" s="11" t="n">
        <v>800</v>
      </c>
      <c r="E30" s="11" t="n">
        <v>7</v>
      </c>
      <c r="F30" s="5" t="n">
        <v>0</v>
      </c>
    </row>
    <row r="31">
      <c r="A31" s="5" t="inlineStr">
        <is>
          <t>nyc concierge service</t>
        </is>
      </c>
      <c r="B31" s="5" t="n">
        <v>3</v>
      </c>
      <c r="C31" s="5" t="inlineStr">
        <is>
          <t>/locations/new-york-concierge-service</t>
        </is>
      </c>
      <c r="D31" s="11" t="n">
        <v>40</v>
      </c>
      <c r="E31" s="11" t="n">
        <v>6</v>
      </c>
      <c r="F31" s="5" t="n">
        <v>40</v>
      </c>
    </row>
    <row r="32">
      <c r="A32" s="5" t="inlineStr">
        <is>
          <t>miami concierge services</t>
        </is>
      </c>
      <c r="B32" s="5" t="n">
        <v>4</v>
      </c>
      <c r="C32" s="5" t="inlineStr">
        <is>
          <t>/miami-luxury-concierge (old URL)</t>
        </is>
      </c>
      <c r="D32" s="11" t="n">
        <v>60</v>
      </c>
      <c r="E32" s="11" t="n">
        <v>6</v>
      </c>
      <c r="F32" s="5" t="n">
        <v>0</v>
      </c>
    </row>
    <row r="33">
      <c r="A33" s="5" t="inlineStr">
        <is>
          <t>concierge new york</t>
        </is>
      </c>
      <c r="B33" s="5" t="n">
        <v>8</v>
      </c>
      <c r="C33" s="5" t="inlineStr">
        <is>
          <t>/new-york-concierge-service (old URL)</t>
        </is>
      </c>
      <c r="D33" s="11" t="n">
        <v>100</v>
      </c>
      <c r="E33" s="11" t="n">
        <v>6</v>
      </c>
      <c r="F33" s="5" t="n">
        <v>1</v>
      </c>
    </row>
    <row r="34">
      <c r="A34" s="5" t="inlineStr">
        <is>
          <t>maxims restaurant</t>
        </is>
      </c>
      <c r="B34" s="5" t="n">
        <v>7</v>
      </c>
      <c r="C34" s="5" t="inlineStr">
        <is>
          <t>/maximes-new-york (old URL)</t>
        </is>
      </c>
      <c r="D34" s="11" t="n">
        <v>150</v>
      </c>
      <c r="E34" s="11" t="n">
        <v>5</v>
      </c>
      <c r="F34" s="5" t="n">
        <v>12</v>
      </c>
    </row>
    <row r="35">
      <c r="A35" s="5" t="inlineStr">
        <is>
          <t>luxury personal concierge services</t>
        </is>
      </c>
      <c r="B35" s="5" t="n">
        <v>9</v>
      </c>
      <c r="C35" s="5" t="inlineStr">
        <is>
          <t>/locations/miami-luxury-concierge</t>
        </is>
      </c>
      <c r="D35" s="11" t="n">
        <v>100</v>
      </c>
      <c r="E35" s="11" t="n">
        <v>4</v>
      </c>
      <c r="F35" s="5" t="n">
        <v>3</v>
      </c>
    </row>
    <row r="36">
      <c r="A36" s="5" t="inlineStr">
        <is>
          <t>top concierge companies</t>
        </is>
      </c>
      <c r="B36" s="5" t="n">
        <v>4</v>
      </c>
      <c r="C36" s="5" t="inlineStr">
        <is>
          <t>/locations/new-york-concierge-service</t>
        </is>
      </c>
      <c r="D36" s="11" t="n">
        <v>40</v>
      </c>
      <c r="E36" s="11" t="n">
        <v>4</v>
      </c>
      <c r="F36" s="5" t="n">
        <v>1</v>
      </c>
    </row>
    <row r="37">
      <c r="A37" s="5" t="inlineStr">
        <is>
          <t>best concierge services</t>
        </is>
      </c>
      <c r="B37" s="5" t="n">
        <v>5</v>
      </c>
      <c r="C37" s="5" t="inlineStr">
        <is>
          <t>/locations/new-york-concierge-service</t>
        </is>
      </c>
      <c r="D37" s="11" t="n">
        <v>40</v>
      </c>
      <c r="E37" s="11" t="n">
        <v>3</v>
      </c>
      <c r="F37" s="5" t="n">
        <v>2</v>
      </c>
    </row>
    <row r="38">
      <c r="A38" s="5" t="inlineStr">
        <is>
          <t>best luxury concierge service</t>
        </is>
      </c>
      <c r="B38" s="5" t="n">
        <v>5</v>
      </c>
      <c r="C38" s="5" t="inlineStr">
        <is>
          <t>/miami-luxury-concierge (old URL)</t>
        </is>
      </c>
      <c r="D38" s="11" t="n">
        <v>30</v>
      </c>
      <c r="E38" s="11" t="n">
        <v>2</v>
      </c>
      <c r="F38" s="5" t="n">
        <v>0</v>
      </c>
    </row>
    <row r="39">
      <c r="A39" s="5" t="inlineStr">
        <is>
          <t>private concierge services</t>
        </is>
      </c>
      <c r="B39" s="5" t="n">
        <v>1</v>
      </c>
      <c r="C39" s="5" t="inlineStr">
        <is>
          <t>/locations/new-york-concierge-service</t>
        </is>
      </c>
      <c r="D39" s="11" t="n">
        <v>10</v>
      </c>
      <c r="E39" s="11" t="n">
        <v>2</v>
      </c>
      <c r="F39" s="5" t="n">
        <v>4</v>
      </c>
    </row>
    <row r="40">
      <c r="A40" s="5" t="inlineStr">
        <is>
          <t>luxury concierge service</t>
        </is>
      </c>
      <c r="B40" s="5" t="n">
        <v>21</v>
      </c>
      <c r="C40" s="5" t="inlineStr">
        <is>
          <t>/locations</t>
        </is>
      </c>
      <c r="D40" s="11" t="n">
        <v>500</v>
      </c>
      <c r="E40" s="11" t="n">
        <v>1</v>
      </c>
      <c r="F40" s="5" t="n">
        <v>6</v>
      </c>
    </row>
    <row r="41">
      <c r="A41" s="5" t="inlineStr">
        <is>
          <t>luxury concierge</t>
        </is>
      </c>
      <c r="B41" s="5" t="n">
        <v>21</v>
      </c>
      <c r="C41" s="5" t="inlineStr">
        <is>
          <t>/locations/new-york-concierge-service</t>
        </is>
      </c>
      <c r="D41" s="11" t="n">
        <v>600</v>
      </c>
      <c r="E41" s="11" t="n">
        <v>1</v>
      </c>
      <c r="F41" s="5" t="n">
        <v>2</v>
      </c>
    </row>
    <row r="42">
      <c r="A42" s="5" t="inlineStr">
        <is>
          <t>concierge service london</t>
        </is>
      </c>
      <c r="B42" s="5" t="n">
        <v>8</v>
      </c>
      <c r="C42" s="5" t="inlineStr">
        <is>
          <t>/</t>
        </is>
      </c>
      <c r="D42" s="11" t="n">
        <v>20</v>
      </c>
      <c r="E42" s="11" t="n">
        <v>1</v>
      </c>
      <c r="F42" s="5" t="n">
        <v>24</v>
      </c>
    </row>
    <row r="43">
      <c r="A43" s="5" t="inlineStr">
        <is>
          <t>dallas concierge</t>
        </is>
      </c>
      <c r="B43" s="5" t="n">
        <v>4</v>
      </c>
      <c r="C43" s="5" t="inlineStr">
        <is>
          <t>/locations/luxury-concierge-dallas</t>
        </is>
      </c>
      <c r="D43" s="11" t="n">
        <v>10</v>
      </c>
      <c r="E43" s="11" t="n">
        <v>1</v>
      </c>
      <c r="F43" s="5" t="n">
        <v>26</v>
      </c>
    </row>
    <row r="45">
      <c r="A45" s="8" t="inlineStr">
        <is>
          <t>Total est. traffic (listed rows)</t>
        </is>
      </c>
      <c r="E45" s="17">
        <f>SUM(E3:E43)</f>
        <v/>
      </c>
    </row>
  </sheetData>
  <autoFilter ref="A2:F43"/>
  <mergeCells count="1">
    <mergeCell ref="A1:F1"/>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35"/>
  <sheetViews>
    <sheetView workbookViewId="0">
      <pane ySplit="2" topLeftCell="A3" activePane="bottomLeft" state="frozen"/>
      <selection pane="bottomLeft" activeCell="A1" sqref="A1"/>
    </sheetView>
  </sheetViews>
  <sheetFormatPr baseColWidth="8" defaultRowHeight="15"/>
  <cols>
    <col width="36" customWidth="1" min="1" max="1"/>
    <col width="10" customWidth="1" min="2" max="2"/>
    <col width="48" customWidth="1" min="3" max="3"/>
    <col width="10" customWidth="1" min="4" max="4"/>
    <col width="11" customWidth="1" min="5" max="5"/>
    <col width="7" customWidth="1" min="6" max="6"/>
  </cols>
  <sheetData>
    <row r="1" ht="30" customHeight="1">
      <c r="A1" s="3" t="inlineStr">
        <is>
          <t>Ahrefs site-explorer organic keywords, 2026-09-01, ordered by estimated traffic. "(old URL)" = pre-migration flat URL still credited by Ahrefs; it 301s to the new path.</t>
        </is>
      </c>
    </row>
    <row r="2">
      <c r="A2" s="4" t="inlineStr">
        <is>
          <t>Keyword</t>
        </is>
      </c>
      <c r="B2" s="4" t="inlineStr">
        <is>
          <t>Best position</t>
        </is>
      </c>
      <c r="C2" s="4" t="inlineStr">
        <is>
          <t>URL</t>
        </is>
      </c>
      <c r="D2" s="4" t="inlineStr">
        <is>
          <t>Volume</t>
        </is>
      </c>
      <c r="E2" s="4" t="inlineStr">
        <is>
          <t>Est. traffic</t>
        </is>
      </c>
      <c r="F2" s="4" t="inlineStr">
        <is>
          <t>KD</t>
        </is>
      </c>
    </row>
    <row r="3">
      <c r="A3" s="5" t="inlineStr">
        <is>
          <t>5 hertford street</t>
        </is>
      </c>
      <c r="B3" s="5" t="n">
        <v>8</v>
      </c>
      <c r="C3" s="5" t="inlineStr">
        <is>
          <t>/access</t>
        </is>
      </c>
      <c r="D3" s="11" t="n">
        <v>3700</v>
      </c>
      <c r="E3" s="11" t="n">
        <v>132</v>
      </c>
      <c r="F3" s="5" t="n">
        <v>43</v>
      </c>
    </row>
    <row r="4">
      <c r="A4" s="5" t="inlineStr">
        <is>
          <t>5 hertford street club</t>
        </is>
      </c>
      <c r="B4" s="5" t="n">
        <v>11</v>
      </c>
      <c r="C4" s="5" t="inlineStr">
        <is>
          <t>/access/5-hertford-street</t>
        </is>
      </c>
      <c r="D4" s="11" t="n">
        <v>5300</v>
      </c>
      <c r="E4" s="11" t="n">
        <v>87</v>
      </c>
      <c r="F4" s="5" t="n">
        <v>2</v>
      </c>
    </row>
    <row r="5">
      <c r="A5" s="5" t="inlineStr">
        <is>
          <t>oswald's club</t>
        </is>
      </c>
      <c r="B5" s="5" t="n">
        <v>2</v>
      </c>
      <c r="C5" s="5" t="inlineStr">
        <is>
          <t>/access/oswalds-mayfair</t>
        </is>
      </c>
      <c r="D5" s="11" t="n">
        <v>300</v>
      </c>
      <c r="E5" s="11" t="n">
        <v>45</v>
      </c>
      <c r="F5" s="5" t="n">
        <v>2</v>
      </c>
    </row>
    <row r="6">
      <c r="A6" s="5" t="inlineStr">
        <is>
          <t>knightsbridge circle</t>
        </is>
      </c>
      <c r="B6" s="5" t="n">
        <v>1</v>
      </c>
      <c r="C6" s="5" t="inlineStr">
        <is>
          <t>/</t>
        </is>
      </c>
      <c r="D6" s="11" t="n">
        <v>150</v>
      </c>
      <c r="E6" s="11" t="n">
        <v>44</v>
      </c>
      <c r="F6" s="5" t="n">
        <v>1</v>
      </c>
    </row>
    <row r="7">
      <c r="A7" s="5" t="inlineStr">
        <is>
          <t>carbone london</t>
        </is>
      </c>
      <c r="B7" s="5" t="n">
        <v>15</v>
      </c>
      <c r="C7" s="5" t="inlineStr">
        <is>
          <t>/access/carbone-london</t>
        </is>
      </c>
      <c r="D7" s="11" t="n">
        <v>5100</v>
      </c>
      <c r="E7" s="11" t="n">
        <v>41</v>
      </c>
      <c r="F7" s="5" t="n">
        <v>0</v>
      </c>
    </row>
    <row r="8">
      <c r="A8" s="5" t="inlineStr">
        <is>
          <t>celeste notting hill</t>
        </is>
      </c>
      <c r="B8" s="5" t="n">
        <v>3</v>
      </c>
      <c r="C8" s="5" t="inlineStr">
        <is>
          <t>/access</t>
        </is>
      </c>
      <c r="D8" s="11" t="n">
        <v>250</v>
      </c>
      <c r="E8" s="11" t="n">
        <v>32</v>
      </c>
      <c r="F8" s="5" t="n">
        <v>28</v>
      </c>
    </row>
    <row r="9">
      <c r="A9" s="5" t="inlineStr">
        <is>
          <t>concierge service london</t>
        </is>
      </c>
      <c r="B9" s="5" t="n">
        <v>5</v>
      </c>
      <c r="C9" s="5" t="inlineStr">
        <is>
          <t>/locations/london-concierge-service</t>
        </is>
      </c>
      <c r="D9" s="11" t="n">
        <v>150</v>
      </c>
      <c r="E9" s="11" t="n">
        <v>21</v>
      </c>
      <c r="F9" s="5" t="n">
        <v>4</v>
      </c>
    </row>
    <row r="10">
      <c r="A10" s="5" t="inlineStr">
        <is>
          <t>luxury concierge london</t>
        </is>
      </c>
      <c r="B10" s="5" t="n">
        <v>5</v>
      </c>
      <c r="C10" s="5" t="inlineStr">
        <is>
          <t>/locations/london-concierge-service</t>
        </is>
      </c>
      <c r="D10" s="11" t="n">
        <v>150</v>
      </c>
      <c r="E10" s="11" t="n">
        <v>21</v>
      </c>
      <c r="F10" s="5" t="n">
        <v>5</v>
      </c>
    </row>
    <row r="11">
      <c r="A11" s="5" t="inlineStr">
        <is>
          <t>oswald's london</t>
        </is>
      </c>
      <c r="B11" s="5" t="n">
        <v>3</v>
      </c>
      <c r="C11" s="5" t="inlineStr">
        <is>
          <t>/access/oswalds-mayfair</t>
        </is>
      </c>
      <c r="D11" s="11" t="n">
        <v>150</v>
      </c>
      <c r="E11" s="11" t="n">
        <v>20</v>
      </c>
      <c r="F11" s="5" t="n">
        <v>0</v>
      </c>
    </row>
    <row r="12">
      <c r="A12" s="5" t="inlineStr">
        <is>
          <t>oswalds mayfair</t>
        </is>
      </c>
      <c r="B12" s="5" t="n">
        <v>3</v>
      </c>
      <c r="C12" s="5" t="inlineStr">
        <is>
          <t>/access/oswalds-mayfair</t>
        </is>
      </c>
      <c r="D12" s="11" t="n">
        <v>150</v>
      </c>
      <c r="E12" s="11" t="n">
        <v>19</v>
      </c>
      <c r="F12" s="5" t="n">
        <v>10</v>
      </c>
    </row>
    <row r="13">
      <c r="A13" s="5" t="inlineStr">
        <is>
          <t>oswalds club</t>
        </is>
      </c>
      <c r="B13" s="5" t="n">
        <v>1</v>
      </c>
      <c r="C13" s="5" t="inlineStr">
        <is>
          <t>/access/oswalds-mayfair</t>
        </is>
      </c>
      <c r="D13" s="11" t="n">
        <v>150</v>
      </c>
      <c r="E13" s="11" t="n">
        <v>17</v>
      </c>
      <c r="F13" s="5" t="n">
        <v>2</v>
      </c>
    </row>
    <row r="14">
      <c r="A14" s="5" t="inlineStr">
        <is>
          <t>concierge company</t>
        </is>
      </c>
      <c r="B14" s="5" t="n">
        <v>7</v>
      </c>
      <c r="C14" s="5" t="inlineStr">
        <is>
          <t>/locations/london-concierge-service</t>
        </is>
      </c>
      <c r="D14" s="11" t="n">
        <v>200</v>
      </c>
      <c r="E14" s="11" t="n">
        <v>11</v>
      </c>
      <c r="F14" s="5" t="n">
        <v>45</v>
      </c>
    </row>
    <row r="15">
      <c r="A15" s="5" t="inlineStr">
        <is>
          <t>oswalds dress code</t>
        </is>
      </c>
      <c r="B15" s="5" t="n">
        <v>2</v>
      </c>
      <c r="C15" s="5" t="inlineStr">
        <is>
          <t>/access/oswalds-mayfair</t>
        </is>
      </c>
      <c r="D15" s="11" t="n">
        <v>70</v>
      </c>
      <c r="E15" s="11" t="n">
        <v>10</v>
      </c>
      <c r="F15" s="5" t="n">
        <v>1</v>
      </c>
    </row>
    <row r="16">
      <c r="A16" s="5" t="inlineStr">
        <is>
          <t>5 hertford st</t>
        </is>
      </c>
      <c r="B16" s="5" t="n">
        <v>6</v>
      </c>
      <c r="C16" s="5" t="inlineStr">
        <is>
          <t>/access/5-hertford-street</t>
        </is>
      </c>
      <c r="D16" s="11" t="n">
        <v>150</v>
      </c>
      <c r="E16" s="11" t="n">
        <v>10</v>
      </c>
      <c r="F16" s="5" t="n">
        <v>4</v>
      </c>
    </row>
    <row r="17">
      <c r="A17" s="5" t="inlineStr">
        <is>
          <t>london concierge</t>
        </is>
      </c>
      <c r="B17" s="5" t="n">
        <v>8</v>
      </c>
      <c r="C17" s="5" t="inlineStr">
        <is>
          <t>/locations/london-concierge-service</t>
        </is>
      </c>
      <c r="D17" s="11" t="n">
        <v>150</v>
      </c>
      <c r="E17" s="11" t="n">
        <v>10</v>
      </c>
      <c r="F17" s="5" t="n">
        <v>0</v>
      </c>
    </row>
    <row r="18">
      <c r="A18" s="5" t="inlineStr">
        <is>
          <t>5 hertford street club photos</t>
        </is>
      </c>
      <c r="B18" s="5" t="n">
        <v>8</v>
      </c>
      <c r="C18" s="5" t="inlineStr">
        <is>
          <t>/access/5-hertford-street</t>
        </is>
      </c>
      <c r="D18" s="11" t="n">
        <v>200</v>
      </c>
      <c r="E18" s="11" t="n">
        <v>9</v>
      </c>
      <c r="F18" s="5" t="n">
        <v>0</v>
      </c>
    </row>
    <row r="19">
      <c r="A19" s="5" t="inlineStr">
        <is>
          <t>knoghtsbridge</t>
        </is>
      </c>
      <c r="B19" s="5" t="n">
        <v>6</v>
      </c>
      <c r="C19" s="5" t="inlineStr">
        <is>
          <t>/</t>
        </is>
      </c>
      <c r="D19" s="11" t="n">
        <v>150</v>
      </c>
      <c r="E19" s="11" t="n">
        <v>8</v>
      </c>
      <c r="F19" s="5" t="n">
        <v>21</v>
      </c>
    </row>
    <row r="20">
      <c r="A20" s="5" t="inlineStr">
        <is>
          <t>concierge services uk</t>
        </is>
      </c>
      <c r="B20" s="5" t="n">
        <v>9</v>
      </c>
      <c r="C20" s="5" t="inlineStr">
        <is>
          <t>/</t>
        </is>
      </c>
      <c r="D20" s="11" t="n">
        <v>100</v>
      </c>
      <c r="E20" s="11" t="n">
        <v>4</v>
      </c>
      <c r="F20" s="5" t="n">
        <v>29</v>
      </c>
    </row>
    <row r="21">
      <c r="A21" s="5" t="inlineStr">
        <is>
          <t>5 hertford street membership</t>
        </is>
      </c>
      <c r="B21" s="5" t="n">
        <v>8</v>
      </c>
      <c r="C21" s="5" t="inlineStr">
        <is>
          <t>/access/5-hertford-street</t>
        </is>
      </c>
      <c r="D21" s="11" t="n">
        <v>100</v>
      </c>
      <c r="E21" s="11" t="n">
        <v>4</v>
      </c>
      <c r="F21" s="5" t="n">
        <v>6</v>
      </c>
    </row>
    <row r="22">
      <c r="A22" s="5" t="inlineStr">
        <is>
          <t>knightsbridge</t>
        </is>
      </c>
      <c r="B22" s="5" t="n">
        <v>7</v>
      </c>
      <c r="C22" s="5" t="inlineStr">
        <is>
          <t>/</t>
        </is>
      </c>
      <c r="D22" s="11" t="n">
        <v>14000</v>
      </c>
      <c r="E22" s="11" t="n">
        <v>3</v>
      </c>
      <c r="F22" s="5" t="n">
        <v>47</v>
      </c>
    </row>
    <row r="23">
      <c r="A23" s="5" t="inlineStr">
        <is>
          <t>london concierge services</t>
        </is>
      </c>
      <c r="B23" s="5" t="n">
        <v>4</v>
      </c>
      <c r="C23" s="5" t="inlineStr">
        <is>
          <t>/locations/london-concierge-service</t>
        </is>
      </c>
      <c r="D23" s="11" t="n">
        <v>30</v>
      </c>
      <c r="E23" s="11" t="n">
        <v>3</v>
      </c>
      <c r="F23" s="5" t="n">
        <v>2</v>
      </c>
    </row>
    <row r="24">
      <c r="A24" s="5" t="inlineStr">
        <is>
          <t>concierge companies london</t>
        </is>
      </c>
      <c r="B24" s="5" t="n">
        <v>5</v>
      </c>
      <c r="C24" s="5" t="inlineStr">
        <is>
          <t>/locations/london-concierge-service</t>
        </is>
      </c>
      <c r="D24" s="11" t="n">
        <v>30</v>
      </c>
      <c r="E24" s="11" t="n">
        <v>3</v>
      </c>
      <c r="F24" s="5" t="n">
        <v>26</v>
      </c>
    </row>
    <row r="25">
      <c r="A25" s="5" t="inlineStr">
        <is>
          <t>london concierge service</t>
        </is>
      </c>
      <c r="B25" s="5" t="n">
        <v>7</v>
      </c>
      <c r="C25" s="5" t="inlineStr">
        <is>
          <t>/locations/london-concierge-service</t>
        </is>
      </c>
      <c r="D25" s="11" t="n">
        <v>40</v>
      </c>
      <c r="E25" s="11" t="n">
        <v>3</v>
      </c>
      <c r="F25" s="5" t="n">
        <v>22</v>
      </c>
    </row>
    <row r="26">
      <c r="A26" s="5" t="inlineStr">
        <is>
          <t>5 hertford street membership cost</t>
        </is>
      </c>
      <c r="B26" s="5" t="n">
        <v>11</v>
      </c>
      <c r="C26" s="5" t="inlineStr">
        <is>
          <t>/access/5-hertford-street</t>
        </is>
      </c>
      <c r="D26" s="11" t="n">
        <v>150</v>
      </c>
      <c r="E26" s="11" t="n">
        <v>3</v>
      </c>
      <c r="F26" s="5" t="n">
        <v>7</v>
      </c>
    </row>
    <row r="27">
      <c r="A27" s="5" t="inlineStr">
        <is>
          <t>carbone restaurant london</t>
        </is>
      </c>
      <c r="B27" s="5" t="n">
        <v>18</v>
      </c>
      <c r="C27" s="5" t="inlineStr">
        <is>
          <t>/access/carbone-london</t>
        </is>
      </c>
      <c r="D27" s="11" t="n">
        <v>1000</v>
      </c>
      <c r="E27" s="11" t="n">
        <v>4</v>
      </c>
      <c r="F27" s="5" t="n">
        <v>0</v>
      </c>
    </row>
    <row r="28">
      <c r="A28" s="5" t="inlineStr">
        <is>
          <t>concierge company london</t>
        </is>
      </c>
      <c r="B28" s="5" t="n">
        <v>7</v>
      </c>
      <c r="C28" s="5" t="inlineStr">
        <is>
          <t>/locations/london-concierge-service</t>
        </is>
      </c>
      <c r="D28" s="11" t="n">
        <v>40</v>
      </c>
      <c r="E28" s="11" t="n">
        <v>2</v>
      </c>
      <c r="F28" s="5" t="n">
        <v>18</v>
      </c>
    </row>
    <row r="29">
      <c r="A29" s="5" t="inlineStr">
        <is>
          <t>concierge services london</t>
        </is>
      </c>
      <c r="B29" s="5" t="n">
        <v>12</v>
      </c>
      <c r="C29" s="5" t="inlineStr">
        <is>
          <t>/locations/london-concierge-service</t>
        </is>
      </c>
      <c r="D29" s="11" t="n">
        <v>40</v>
      </c>
      <c r="E29" s="11" t="n">
        <v>2</v>
      </c>
      <c r="F29" s="5" t="n">
        <v>4</v>
      </c>
    </row>
    <row r="30">
      <c r="A30" s="5" t="inlineStr">
        <is>
          <t>concierge near me</t>
        </is>
      </c>
      <c r="B30" s="5" t="n">
        <v>8</v>
      </c>
      <c r="C30" s="5" t="inlineStr">
        <is>
          <t>/locations/london-concierge-service</t>
        </is>
      </c>
      <c r="D30" s="11" t="n">
        <v>40</v>
      </c>
      <c r="E30" s="11" t="n">
        <v>2</v>
      </c>
      <c r="F30" s="5" t="n">
        <v>21</v>
      </c>
    </row>
    <row r="31">
      <c r="A31" s="5" t="inlineStr">
        <is>
          <t>luxury concierge service uk</t>
        </is>
      </c>
      <c r="B31" s="5" t="n">
        <v>9</v>
      </c>
      <c r="C31" s="5" t="inlineStr">
        <is>
          <t>/locations/london-concierge-service</t>
        </is>
      </c>
      <c r="D31" s="11" t="n">
        <v>50</v>
      </c>
      <c r="E31" s="11" t="n">
        <v>2</v>
      </c>
      <c r="F31" s="5" t="n">
        <v>42</v>
      </c>
    </row>
    <row r="32">
      <c r="A32" s="5" t="inlineStr">
        <is>
          <t>oswald's</t>
        </is>
      </c>
      <c r="B32" s="5" t="n">
        <v>3</v>
      </c>
      <c r="C32" s="5" t="inlineStr">
        <is>
          <t>/access/oswalds-mayfair</t>
        </is>
      </c>
      <c r="D32" s="11" t="n">
        <v>800</v>
      </c>
      <c r="E32" s="11" t="n">
        <v>2</v>
      </c>
      <c r="F32" s="5" t="n">
        <v>0</v>
      </c>
    </row>
    <row r="33">
      <c r="A33" s="5" t="inlineStr">
        <is>
          <t>celeste restaurant london</t>
        </is>
      </c>
      <c r="B33" s="5" t="n">
        <v>6</v>
      </c>
      <c r="C33" s="5" t="inlineStr">
        <is>
          <t>/access/celeste-notting-hill</t>
        </is>
      </c>
      <c r="D33" s="11" t="n">
        <v>40</v>
      </c>
      <c r="E33" s="11" t="n">
        <v>1</v>
      </c>
      <c r="F33" s="5" t="n">
        <v>0</v>
      </c>
    </row>
    <row r="35">
      <c r="A35" s="8" t="inlineStr">
        <is>
          <t>Total est. traffic (listed rows)</t>
        </is>
      </c>
      <c r="E35" s="17">
        <f>SUM(E3:E33)</f>
        <v/>
      </c>
    </row>
  </sheetData>
  <autoFilter ref="A2:F33"/>
  <mergeCells count="1">
    <mergeCell ref="A1:F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54"/>
  <sheetViews>
    <sheetView workbookViewId="0">
      <pane ySplit="2" topLeftCell="A3" activePane="bottomLeft" state="frozen"/>
      <selection pane="bottomLeft" activeCell="A1" sqref="A1"/>
    </sheetView>
  </sheetViews>
  <sheetFormatPr baseColWidth="8" defaultRowHeight="15"/>
  <cols>
    <col width="36" customWidth="1" min="1" max="1"/>
    <col width="10" customWidth="1" min="2" max="2"/>
    <col width="48" customWidth="1" min="3" max="3"/>
    <col width="10" customWidth="1" min="4" max="4"/>
    <col width="11" customWidth="1" min="5" max="5"/>
    <col width="7" customWidth="1" min="6" max="6"/>
  </cols>
  <sheetData>
    <row r="1" ht="30" customHeight="1">
      <c r="A1" s="3" t="inlineStr">
        <is>
          <t>Ahrefs site-explorer organic keywords, 2026-09-01, ordered by estimated traffic. "(old URL)" = pre-migration flat URL still credited by Ahrefs; it 301s to the new path.</t>
        </is>
      </c>
    </row>
    <row r="2">
      <c r="A2" s="4" t="inlineStr">
        <is>
          <t>Keyword</t>
        </is>
      </c>
      <c r="B2" s="4" t="inlineStr">
        <is>
          <t>Best position</t>
        </is>
      </c>
      <c r="C2" s="4" t="inlineStr">
        <is>
          <t>URL</t>
        </is>
      </c>
      <c r="D2" s="4" t="inlineStr">
        <is>
          <t>Volume</t>
        </is>
      </c>
      <c r="E2" s="4" t="inlineStr">
        <is>
          <t>Est. traffic</t>
        </is>
      </c>
      <c r="F2" s="4" t="inlineStr">
        <is>
          <t>KD</t>
        </is>
      </c>
    </row>
    <row r="3">
      <c r="A3" s="5" t="inlineStr">
        <is>
          <t>the nines nyc</t>
        </is>
      </c>
      <c r="B3" s="5" t="n">
        <v>9</v>
      </c>
      <c r="C3" s="5" t="inlineStr">
        <is>
          <t>/magazine/wine/The-Nines-NYC</t>
        </is>
      </c>
      <c r="D3" s="11" t="n">
        <v>11000</v>
      </c>
      <c r="E3" s="11" t="n">
        <v>339</v>
      </c>
      <c r="F3" s="5" t="n">
        <v>4</v>
      </c>
    </row>
    <row r="4">
      <c r="A4" s="5" t="inlineStr">
        <is>
          <t>sienna charles</t>
        </is>
      </c>
      <c r="B4" s="5" t="n">
        <v>1</v>
      </c>
      <c r="C4" s="5" t="inlineStr">
        <is>
          <t>/</t>
        </is>
      </c>
      <c r="D4" s="11" t="n">
        <v>500</v>
      </c>
      <c r="E4" s="11" t="n">
        <v>195</v>
      </c>
      <c r="F4" s="5" t="n">
        <v>1</v>
      </c>
    </row>
    <row r="5">
      <c r="A5" s="5" t="inlineStr">
        <is>
          <t>luxury interior design</t>
        </is>
      </c>
      <c r="B5" s="5" t="n">
        <v>6</v>
      </c>
      <c r="C5" s="5" t="inlineStr">
        <is>
          <t>/magazine</t>
        </is>
      </c>
      <c r="D5" s="11" t="n">
        <v>4300</v>
      </c>
      <c r="E5" s="11" t="n">
        <v>190</v>
      </c>
      <c r="F5" s="5" t="n">
        <v>0</v>
      </c>
    </row>
    <row r="6">
      <c r="A6" s="5" t="inlineStr">
        <is>
          <t>luxury concierge service</t>
        </is>
      </c>
      <c r="B6" s="5" t="n">
        <v>4</v>
      </c>
      <c r="C6" s="5" t="inlineStr">
        <is>
          <t>/vip-luxury-concierge</t>
        </is>
      </c>
      <c r="D6" s="11" t="n">
        <v>500</v>
      </c>
      <c r="E6" s="11" t="n">
        <v>65</v>
      </c>
      <c r="F6" s="5" t="n">
        <v>6</v>
      </c>
    </row>
    <row r="7">
      <c r="A7" s="5" t="inlineStr">
        <is>
          <t>the nines new york reviews</t>
        </is>
      </c>
      <c r="B7" s="5" t="n">
        <v>1</v>
      </c>
      <c r="C7" s="5" t="inlineStr">
        <is>
          <t>/magazine/wine/The-Nines-NYC</t>
        </is>
      </c>
      <c r="D7" s="11" t="n">
        <v>800</v>
      </c>
      <c r="E7" s="11" t="n">
        <v>62</v>
      </c>
      <c r="F7" s="5" t="n">
        <v>0</v>
      </c>
    </row>
    <row r="8">
      <c r="A8" s="5" t="inlineStr">
        <is>
          <t>luxury concierge</t>
        </is>
      </c>
      <c r="B8" s="5" t="n">
        <v>1</v>
      </c>
      <c r="C8" s="5" t="inlineStr">
        <is>
          <t>/vip-luxury-concierge</t>
        </is>
      </c>
      <c r="D8" s="11" t="n">
        <v>600</v>
      </c>
      <c r="E8" s="11" t="n">
        <v>53</v>
      </c>
      <c r="F8" s="5" t="n">
        <v>2</v>
      </c>
    </row>
    <row r="9">
      <c r="A9" s="5" t="inlineStr">
        <is>
          <t>luxury concierge services nyc</t>
        </is>
      </c>
      <c r="B9" s="5" t="n">
        <v>2</v>
      </c>
      <c r="C9" s="5" t="inlineStr">
        <is>
          <t>/vip-luxury-concierge</t>
        </is>
      </c>
      <c r="D9" s="11" t="n">
        <v>150</v>
      </c>
      <c r="E9" s="11" t="n">
        <v>50</v>
      </c>
      <c r="F9" s="5" t="n">
        <v>1</v>
      </c>
    </row>
    <row r="10">
      <c r="A10" s="5" t="inlineStr">
        <is>
          <t>new york concierge services</t>
        </is>
      </c>
      <c r="B10" s="5" t="n">
        <v>3</v>
      </c>
      <c r="C10" s="5" t="inlineStr">
        <is>
          <t>/vip-luxury-concierge</t>
        </is>
      </c>
      <c r="D10" s="11" t="n">
        <v>250</v>
      </c>
      <c r="E10" s="11" t="n">
        <v>47</v>
      </c>
      <c r="F10" s="5" t="n">
        <v>1</v>
      </c>
    </row>
    <row r="11">
      <c r="A11" s="5" t="inlineStr">
        <is>
          <t>vip concierge service</t>
        </is>
      </c>
      <c r="B11" s="5" t="n">
        <v>1</v>
      </c>
      <c r="C11" s="5" t="inlineStr">
        <is>
          <t>/vip-luxury-concierge</t>
        </is>
      </c>
      <c r="D11" s="11" t="n">
        <v>100</v>
      </c>
      <c r="E11" s="11" t="n">
        <v>41</v>
      </c>
      <c r="F11" s="5" t="n">
        <v>12</v>
      </c>
    </row>
    <row r="12">
      <c r="A12" s="5" t="inlineStr">
        <is>
          <t>luxury concierge services</t>
        </is>
      </c>
      <c r="B12" s="5" t="n">
        <v>1</v>
      </c>
      <c r="C12" s="5" t="inlineStr">
        <is>
          <t>/become-a-member</t>
        </is>
      </c>
      <c r="D12" s="11" t="n">
        <v>300</v>
      </c>
      <c r="E12" s="11" t="n">
        <v>40</v>
      </c>
      <c r="F12" s="5" t="n">
        <v>2</v>
      </c>
    </row>
    <row r="13">
      <c r="A13" s="5" t="inlineStr">
        <is>
          <t>luxury concierge nyc</t>
        </is>
      </c>
      <c r="B13" s="5" t="n">
        <v>2</v>
      </c>
      <c r="C13" s="5" t="inlineStr">
        <is>
          <t>/vip-luxury-concierge</t>
        </is>
      </c>
      <c r="D13" s="11" t="n">
        <v>250</v>
      </c>
      <c r="E13" s="11" t="n">
        <v>36</v>
      </c>
      <c r="F13" s="5" t="n">
        <v>0</v>
      </c>
    </row>
    <row r="14">
      <c r="A14" s="5" t="inlineStr">
        <is>
          <t>luxury lifestyle concierge</t>
        </is>
      </c>
      <c r="B14" s="5" t="n">
        <v>3</v>
      </c>
      <c r="C14" s="5" t="inlineStr">
        <is>
          <t>/luxury-lifestyle-concierge</t>
        </is>
      </c>
      <c r="D14" s="11" t="n">
        <v>300</v>
      </c>
      <c r="E14" s="11" t="n">
        <v>35</v>
      </c>
      <c r="F14" s="5" t="n">
        <v>1</v>
      </c>
    </row>
    <row r="15">
      <c r="A15" s="5" t="inlineStr">
        <is>
          <t>the nines new york</t>
        </is>
      </c>
      <c r="B15" s="5" t="n">
        <v>9</v>
      </c>
      <c r="C15" s="5" t="inlineStr">
        <is>
          <t>/magazine/wine/The-Nines-NYC</t>
        </is>
      </c>
      <c r="D15" s="11" t="n">
        <v>1100</v>
      </c>
      <c r="E15" s="11" t="n">
        <v>35</v>
      </c>
      <c r="F15" s="5" t="n">
        <v>4</v>
      </c>
    </row>
    <row r="16">
      <c r="A16" s="5" t="inlineStr">
        <is>
          <t>luxury travel concierge</t>
        </is>
      </c>
      <c r="B16" s="5" t="n">
        <v>1</v>
      </c>
      <c r="C16" s="5" t="inlineStr">
        <is>
          <t>/luxury-travel-concierge</t>
        </is>
      </c>
      <c r="D16" s="11" t="n">
        <v>600</v>
      </c>
      <c r="E16" s="11" t="n">
        <v>34</v>
      </c>
      <c r="F16" s="5" t="n">
        <v>5</v>
      </c>
    </row>
    <row r="17">
      <c r="A17" s="5" t="inlineStr">
        <is>
          <t>luxury lifestyle management</t>
        </is>
      </c>
      <c r="B17" s="5" t="n">
        <v>1</v>
      </c>
      <c r="C17" s="5" t="inlineStr">
        <is>
          <t>/luxury-lifestyle-concierge</t>
        </is>
      </c>
      <c r="D17" s="11" t="n">
        <v>200</v>
      </c>
      <c r="E17" s="11" t="n">
        <v>31</v>
      </c>
      <c r="F17" s="5" t="n">
        <v>5</v>
      </c>
    </row>
    <row r="18">
      <c r="A18" s="5" t="inlineStr">
        <is>
          <t>lifestyle concierge</t>
        </is>
      </c>
      <c r="B18" s="5" t="n">
        <v>1</v>
      </c>
      <c r="C18" s="5" t="inlineStr">
        <is>
          <t>/luxury-lifestyle-concierge</t>
        </is>
      </c>
      <c r="D18" s="11" t="n">
        <v>450</v>
      </c>
      <c r="E18" s="11" t="n">
        <v>27</v>
      </c>
      <c r="F18" s="5" t="n">
        <v>5</v>
      </c>
    </row>
    <row r="19">
      <c r="A19" s="5" t="inlineStr">
        <is>
          <t>lifestyle management services</t>
        </is>
      </c>
      <c r="B19" s="5" t="n">
        <v>4</v>
      </c>
      <c r="C19" s="5" t="inlineStr">
        <is>
          <t>/luxury-lifestyle-concierge</t>
        </is>
      </c>
      <c r="D19" s="11" t="n">
        <v>200</v>
      </c>
      <c r="E19" s="11" t="n">
        <v>25</v>
      </c>
      <c r="F19" s="5" t="n">
        <v>0</v>
      </c>
    </row>
    <row r="20">
      <c r="A20" s="5" t="inlineStr">
        <is>
          <t>concierge services new york</t>
        </is>
      </c>
      <c r="B20" s="5" t="n">
        <v>3</v>
      </c>
      <c r="C20" s="5" t="inlineStr">
        <is>
          <t>/vip-luxury-concierge</t>
        </is>
      </c>
      <c r="D20" s="11" t="n">
        <v>70</v>
      </c>
      <c r="E20" s="11" t="n">
        <v>24</v>
      </c>
      <c r="F20" s="5" t="n">
        <v>1</v>
      </c>
    </row>
    <row r="21">
      <c r="A21" s="5" t="inlineStr">
        <is>
          <t>nines nyc</t>
        </is>
      </c>
      <c r="B21" s="5" t="n">
        <v>7</v>
      </c>
      <c r="C21" s="5" t="inlineStr">
        <is>
          <t>/magazine/wine/The-Nines-NYC</t>
        </is>
      </c>
      <c r="D21" s="11" t="n">
        <v>450</v>
      </c>
      <c r="E21" s="11" t="n">
        <v>22</v>
      </c>
      <c r="F21" s="5" t="n">
        <v>6</v>
      </c>
    </row>
    <row r="22">
      <c r="A22" s="5" t="inlineStr">
        <is>
          <t>ultra luxury travel</t>
        </is>
      </c>
      <c r="B22" s="5" t="n">
        <v>1</v>
      </c>
      <c r="C22" s="5" t="inlineStr">
        <is>
          <t>/</t>
        </is>
      </c>
      <c r="D22" s="11" t="n">
        <v>60</v>
      </c>
      <c r="E22" s="11" t="n">
        <v>21</v>
      </c>
      <c r="F22" s="5" t="n">
        <v>37</v>
      </c>
    </row>
    <row r="23">
      <c r="A23" s="5" t="inlineStr">
        <is>
          <t>best concierge</t>
        </is>
      </c>
      <c r="B23" s="5" t="n">
        <v>3</v>
      </c>
      <c r="C23" s="5" t="inlineStr">
        <is>
          <t>/vip-luxury-concierge</t>
        </is>
      </c>
      <c r="D23" s="11" t="n">
        <v>150</v>
      </c>
      <c r="E23" s="11" t="n">
        <v>21</v>
      </c>
      <c r="F23" s="5" t="n">
        <v>0</v>
      </c>
    </row>
    <row r="24">
      <c r="A24" s="5" t="inlineStr">
        <is>
          <t>concierge new york</t>
        </is>
      </c>
      <c r="B24" s="5" t="n">
        <v>3</v>
      </c>
      <c r="C24" s="5" t="inlineStr">
        <is>
          <t>/vip-luxury-concierge</t>
        </is>
      </c>
      <c r="D24" s="11" t="n">
        <v>100</v>
      </c>
      <c r="E24" s="11" t="n">
        <v>17</v>
      </c>
      <c r="F24" s="5" t="n">
        <v>1</v>
      </c>
    </row>
    <row r="25">
      <c r="A25" s="5" t="inlineStr">
        <is>
          <t>granite paris</t>
        </is>
      </c>
      <c r="B25" s="5" t="n">
        <v>7</v>
      </c>
      <c r="C25" s="5" t="inlineStr">
        <is>
          <t>/magazine/fine-dining/Granite-Paris</t>
        </is>
      </c>
      <c r="D25" s="11" t="n">
        <v>350</v>
      </c>
      <c r="E25" s="11" t="n">
        <v>16</v>
      </c>
      <c r="F25" s="5" t="n">
        <v>0</v>
      </c>
    </row>
    <row r="26">
      <c r="A26" s="5" t="inlineStr">
        <is>
          <t>jaclyn sienna india</t>
        </is>
      </c>
      <c r="B26" s="5" t="n">
        <v>3</v>
      </c>
      <c r="C26" s="5" t="inlineStr">
        <is>
          <t>/about/our-founder</t>
        </is>
      </c>
      <c r="D26" s="11" t="n">
        <v>150</v>
      </c>
      <c r="E26" s="11" t="n">
        <v>16</v>
      </c>
      <c r="F26" s="5" t="n">
        <v>1</v>
      </c>
    </row>
    <row r="27">
      <c r="A27" s="5" t="inlineStr">
        <is>
          <t>lifestyle management concierge services</t>
        </is>
      </c>
      <c r="B27" s="5" t="n">
        <v>3</v>
      </c>
      <c r="C27" s="5" t="inlineStr">
        <is>
          <t>/luxury-lifestyle-concierge</t>
        </is>
      </c>
      <c r="D27" s="11" t="n">
        <v>150</v>
      </c>
      <c r="E27" s="11" t="n">
        <v>16</v>
      </c>
      <c r="F27" s="5" t="n">
        <v>20</v>
      </c>
    </row>
    <row r="28">
      <c r="A28" s="5" t="inlineStr">
        <is>
          <t>vip concierge services</t>
        </is>
      </c>
      <c r="B28" s="5" t="n">
        <v>3</v>
      </c>
      <c r="C28" s="5" t="inlineStr">
        <is>
          <t>/vip-luxury-concierge</t>
        </is>
      </c>
      <c r="D28" s="11" t="n">
        <v>150</v>
      </c>
      <c r="E28" s="11" t="n">
        <v>16</v>
      </c>
      <c r="F28" s="5" t="n">
        <v>8</v>
      </c>
    </row>
    <row r="29">
      <c r="A29" s="5" t="inlineStr">
        <is>
          <t>luxury personal concierge services</t>
        </is>
      </c>
      <c r="B29" s="5" t="n">
        <v>3</v>
      </c>
      <c r="C29" s="5" t="inlineStr">
        <is>
          <t>/vip-luxury-concierge</t>
        </is>
      </c>
      <c r="D29" s="11" t="n">
        <v>100</v>
      </c>
      <c r="E29" s="11" t="n">
        <v>13</v>
      </c>
      <c r="F29" s="5" t="n">
        <v>3</v>
      </c>
    </row>
    <row r="30">
      <c r="A30" s="5" t="inlineStr">
        <is>
          <t>lifestyle concierge services</t>
        </is>
      </c>
      <c r="B30" s="5" t="n">
        <v>1</v>
      </c>
      <c r="C30" s="5" t="inlineStr">
        <is>
          <t>/luxury-lifestyle-concierge</t>
        </is>
      </c>
      <c r="D30" s="11" t="n">
        <v>200</v>
      </c>
      <c r="E30" s="11" t="n">
        <v>13</v>
      </c>
      <c r="F30" s="5" t="n">
        <v>0</v>
      </c>
    </row>
    <row r="31">
      <c r="A31" s="5" t="inlineStr">
        <is>
          <t>la dolce vita beverly hills</t>
        </is>
      </c>
      <c r="B31" s="5" t="n">
        <v>15</v>
      </c>
      <c r="C31" s="5" t="inlineStr">
        <is>
          <t>/magazine/fine-dining</t>
        </is>
      </c>
      <c r="D31" s="11" t="n">
        <v>2400</v>
      </c>
      <c r="E31" s="11" t="n">
        <v>12</v>
      </c>
      <c r="F31" s="5" t="n">
        <v>50</v>
      </c>
    </row>
    <row r="32">
      <c r="A32" s="5" t="inlineStr">
        <is>
          <t>biologique recherche los angeles</t>
        </is>
      </c>
      <c r="B32" s="5" t="n">
        <v>8</v>
      </c>
      <c r="C32" s="5" t="inlineStr">
        <is>
          <t>/magazine/beauty/Biologique-recherche-LA</t>
        </is>
      </c>
      <c r="D32" s="11" t="n">
        <v>300</v>
      </c>
      <c r="E32" s="11" t="n">
        <v>12</v>
      </c>
      <c r="F32" s="5" t="n">
        <v>0</v>
      </c>
    </row>
    <row r="33">
      <c r="A33" s="5" t="inlineStr">
        <is>
          <t>travel concierge</t>
        </is>
      </c>
      <c r="B33" s="5" t="n">
        <v>10</v>
      </c>
      <c r="C33" s="5" t="inlineStr">
        <is>
          <t>/luxury-travel-concierge</t>
        </is>
      </c>
      <c r="D33" s="11" t="n">
        <v>600</v>
      </c>
      <c r="E33" s="11" t="n">
        <v>11</v>
      </c>
      <c r="F33" s="5" t="n">
        <v>41</v>
      </c>
    </row>
    <row r="34">
      <c r="A34" s="5" t="inlineStr">
        <is>
          <t>luxury concierge service nyc</t>
        </is>
      </c>
      <c r="B34" s="5" t="n">
        <v>1</v>
      </c>
      <c r="C34" s="5" t="inlineStr">
        <is>
          <t>/vip-luxury-concierge</t>
        </is>
      </c>
      <c r="D34" s="11" t="n">
        <v>50</v>
      </c>
      <c r="E34" s="11" t="n">
        <v>11</v>
      </c>
      <c r="F34" s="5" t="n">
        <v>1</v>
      </c>
    </row>
    <row r="35">
      <c r="A35" s="5" t="inlineStr">
        <is>
          <t>travel concierge services</t>
        </is>
      </c>
      <c r="B35" s="5" t="n">
        <v>1</v>
      </c>
      <c r="C35" s="5" t="inlineStr">
        <is>
          <t>/luxury-travel-concierge</t>
        </is>
      </c>
      <c r="D35" s="11" t="n">
        <v>400</v>
      </c>
      <c r="E35" s="11" t="n">
        <v>11</v>
      </c>
      <c r="F35" s="5" t="n">
        <v>2</v>
      </c>
    </row>
    <row r="36">
      <c r="A36" s="5" t="inlineStr">
        <is>
          <t>concierge travel agency</t>
        </is>
      </c>
      <c r="B36" s="5" t="n">
        <v>4</v>
      </c>
      <c r="C36" s="5" t="inlineStr">
        <is>
          <t>/luxury-travel-concierge</t>
        </is>
      </c>
      <c r="D36" s="11" t="n">
        <v>90</v>
      </c>
      <c r="E36" s="11" t="n">
        <v>11</v>
      </c>
      <c r="F36" s="5" t="n">
        <v>32</v>
      </c>
    </row>
    <row r="37">
      <c r="A37" s="5" t="inlineStr">
        <is>
          <t>sicily luxury villas</t>
        </is>
      </c>
      <c r="B37" s="5" t="n">
        <v>11</v>
      </c>
      <c r="C37" s="5" t="inlineStr">
        <is>
          <t>/private-luxury-villas/sicily</t>
        </is>
      </c>
      <c r="D37" s="11" t="n">
        <v>500</v>
      </c>
      <c r="E37" s="11" t="n">
        <v>10</v>
      </c>
      <c r="F37" s="5" t="n">
        <v>7</v>
      </c>
    </row>
    <row r="38">
      <c r="A38" s="5" t="inlineStr">
        <is>
          <t>lifestyle management companies</t>
        </is>
      </c>
      <c r="B38" s="5" t="n">
        <v>4</v>
      </c>
      <c r="C38" s="5" t="inlineStr">
        <is>
          <t>/luxury-lifestyle-concierge</t>
        </is>
      </c>
      <c r="D38" s="11" t="n">
        <v>100</v>
      </c>
      <c r="E38" s="11" t="n">
        <v>10</v>
      </c>
      <c r="F38" s="5" t="n">
        <v>26</v>
      </c>
    </row>
    <row r="39">
      <c r="A39" s="5" t="inlineStr">
        <is>
          <t>lifestyle concierge service</t>
        </is>
      </c>
      <c r="B39" s="5" t="n">
        <v>4</v>
      </c>
      <c r="C39" s="5" t="inlineStr">
        <is>
          <t>/luxury-lifestyle-concierge</t>
        </is>
      </c>
      <c r="D39" s="11" t="n">
        <v>100</v>
      </c>
      <c r="E39" s="11" t="n">
        <v>9</v>
      </c>
      <c r="F39" s="5" t="n">
        <v>3</v>
      </c>
    </row>
    <row r="40">
      <c r="A40" s="5" t="inlineStr">
        <is>
          <t>luxury membership</t>
        </is>
      </c>
      <c r="B40" s="5" t="n">
        <v>1</v>
      </c>
      <c r="C40" s="5" t="inlineStr">
        <is>
          <t>/become-a-member</t>
        </is>
      </c>
      <c r="D40" s="11" t="n">
        <v>30</v>
      </c>
      <c r="E40" s="11" t="n">
        <v>9</v>
      </c>
      <c r="F40" s="5" t="n">
        <v>6</v>
      </c>
    </row>
    <row r="41">
      <c r="A41" s="5" t="inlineStr">
        <is>
          <t>private concierge</t>
        </is>
      </c>
      <c r="B41" s="5" t="n">
        <v>1</v>
      </c>
      <c r="C41" s="5" t="inlineStr">
        <is>
          <t>/vip-luxury-concierge</t>
        </is>
      </c>
      <c r="D41" s="11" t="n">
        <v>250</v>
      </c>
      <c r="E41" s="11" t="n">
        <v>9</v>
      </c>
      <c r="F41" s="5" t="n">
        <v>8</v>
      </c>
    </row>
    <row r="42">
      <c r="A42" s="5" t="inlineStr">
        <is>
          <t>high end concierge services</t>
        </is>
      </c>
      <c r="B42" s="5" t="n">
        <v>5</v>
      </c>
      <c r="C42" s="5" t="inlineStr">
        <is>
          <t>/vip-luxury-concierge</t>
        </is>
      </c>
      <c r="D42" s="11" t="n">
        <v>100</v>
      </c>
      <c r="E42" s="11" t="n">
        <v>8</v>
      </c>
      <c r="F42" s="5" t="n">
        <v>3</v>
      </c>
    </row>
    <row r="43">
      <c r="A43" s="5" t="inlineStr">
        <is>
          <t>concierge service new york</t>
        </is>
      </c>
      <c r="B43" s="5" t="n">
        <v>6</v>
      </c>
      <c r="C43" s="5" t="inlineStr">
        <is>
          <t>/vip-luxury-concierge</t>
        </is>
      </c>
      <c r="D43" s="11" t="n">
        <v>100</v>
      </c>
      <c r="E43" s="11" t="n">
        <v>8</v>
      </c>
      <c r="F43" s="5" t="n">
        <v>15</v>
      </c>
    </row>
    <row r="44">
      <c r="A44" s="5" t="inlineStr">
        <is>
          <t>travel concierge service</t>
        </is>
      </c>
      <c r="B44" s="5" t="n">
        <v>7</v>
      </c>
      <c r="C44" s="5" t="inlineStr">
        <is>
          <t>/luxury-travel-concierge</t>
        </is>
      </c>
      <c r="D44" s="11" t="n">
        <v>150</v>
      </c>
      <c r="E44" s="11" t="n">
        <v>7</v>
      </c>
      <c r="F44" s="5" t="n">
        <v>4</v>
      </c>
    </row>
    <row r="45">
      <c r="A45" s="5" t="inlineStr">
        <is>
          <t>most luxurious hotels in miami</t>
        </is>
      </c>
      <c r="B45" s="5" t="n">
        <v>7</v>
      </c>
      <c r="C45" s="5" t="inlineStr">
        <is>
          <t>/luxury-hotels/miami</t>
        </is>
      </c>
      <c r="D45" s="11" t="n">
        <v>150</v>
      </c>
      <c r="E45" s="11" t="n">
        <v>6</v>
      </c>
      <c r="F45" s="5" t="n">
        <v>11</v>
      </c>
    </row>
    <row r="46">
      <c r="A46" s="5" t="inlineStr">
        <is>
          <t>fine dining london</t>
        </is>
      </c>
      <c r="B46" s="5" t="n">
        <v>9</v>
      </c>
      <c r="C46" s="5" t="inlineStr">
        <is>
          <t>/michelin-star-restaurants/london</t>
        </is>
      </c>
      <c r="D46" s="11" t="n">
        <v>150</v>
      </c>
      <c r="E46" s="11" t="n">
        <v>6</v>
      </c>
      <c r="F46" s="5" t="n">
        <v>4</v>
      </c>
    </row>
    <row r="47">
      <c r="A47" s="5" t="inlineStr">
        <is>
          <t>luxury hotel concierge services</t>
        </is>
      </c>
      <c r="B47" s="5" t="n">
        <v>6</v>
      </c>
      <c r="C47" s="5" t="inlineStr">
        <is>
          <t>/luxury-travel-concierge</t>
        </is>
      </c>
      <c r="D47" s="11" t="n">
        <v>100</v>
      </c>
      <c r="E47" s="11" t="n">
        <v>6</v>
      </c>
      <c r="F47" s="5" t="n">
        <v>4</v>
      </c>
    </row>
    <row r="48">
      <c r="A48" s="5" t="inlineStr">
        <is>
          <t>luxury concierge company</t>
        </is>
      </c>
      <c r="B48" s="5" t="n">
        <v>2</v>
      </c>
      <c r="C48" s="5" t="inlineStr">
        <is>
          <t>/vip-luxury-concierge</t>
        </is>
      </c>
      <c r="D48" s="11" t="n">
        <v>30</v>
      </c>
      <c r="E48" s="11" t="n">
        <v>6</v>
      </c>
      <c r="F48" s="5" t="n">
        <v>3</v>
      </c>
    </row>
    <row r="49">
      <c r="A49" s="5" t="inlineStr">
        <is>
          <t>fine dining reservations</t>
        </is>
      </c>
      <c r="B49" s="5" t="n">
        <v>4</v>
      </c>
      <c r="C49" s="5" t="inlineStr">
        <is>
          <t>/luxury-fine-dining-restaurants</t>
        </is>
      </c>
      <c r="D49" s="11" t="n">
        <v>40</v>
      </c>
      <c r="E49" s="11" t="n">
        <v>6</v>
      </c>
      <c r="F49" s="5" t="n">
        <v>29</v>
      </c>
    </row>
    <row r="50">
      <c r="A50" s="5" t="inlineStr">
        <is>
          <t>private jet tour</t>
        </is>
      </c>
      <c r="B50" s="5" t="n">
        <v>10</v>
      </c>
      <c r="C50" s="5" t="inlineStr">
        <is>
          <t>/private-jet-tours</t>
        </is>
      </c>
      <c r="D50" s="11" t="n">
        <v>200</v>
      </c>
      <c r="E50" s="11" t="n">
        <v>5</v>
      </c>
      <c r="F50" s="5" t="n">
        <v>53</v>
      </c>
    </row>
    <row r="51">
      <c r="A51" s="5" t="inlineStr">
        <is>
          <t>business travel concierge services</t>
        </is>
      </c>
      <c r="B51" s="5" t="n">
        <v>6</v>
      </c>
      <c r="C51" s="5" t="inlineStr">
        <is>
          <t>/luxury-travel-concierge</t>
        </is>
      </c>
      <c r="D51" s="11" t="n">
        <v>80</v>
      </c>
      <c r="E51" s="11" t="n">
        <v>5</v>
      </c>
      <c r="F51" s="5" t="n">
        <v>5</v>
      </c>
    </row>
    <row r="52">
      <c r="A52" s="5" t="inlineStr">
        <is>
          <t>best concierge service</t>
        </is>
      </c>
      <c r="B52" s="5" t="n">
        <v>5</v>
      </c>
      <c r="C52" s="5" t="inlineStr">
        <is>
          <t>/vip-luxury-concierge</t>
        </is>
      </c>
      <c r="D52" s="11" t="n">
        <v>50</v>
      </c>
      <c r="E52" s="11" t="n">
        <v>4</v>
      </c>
      <c r="F52" s="5" t="n">
        <v>2</v>
      </c>
    </row>
    <row r="54">
      <c r="A54" s="8" t="inlineStr">
        <is>
          <t>Total est. traffic (listed rows)</t>
        </is>
      </c>
      <c r="E54" s="17">
        <f>SUM(E3:E52)</f>
        <v/>
      </c>
    </row>
  </sheetData>
  <autoFilter ref="A2:F52"/>
  <mergeCells count="1">
    <mergeCell ref="A1:F1"/>
  </mergeCell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12"/>
  <sheetViews>
    <sheetView workbookViewId="0">
      <pane ySplit="2" topLeftCell="A3" activePane="bottomLeft" state="frozen"/>
      <selection pane="bottomLeft" activeCell="A1" sqref="A1"/>
    </sheetView>
  </sheetViews>
  <sheetFormatPr baseColWidth="8" defaultRowHeight="15"/>
  <cols>
    <col width="36" customWidth="1" min="1" max="1"/>
    <col width="10" customWidth="1" min="2" max="2"/>
    <col width="48" customWidth="1" min="3" max="3"/>
    <col width="10" customWidth="1" min="4" max="4"/>
    <col width="11" customWidth="1" min="5" max="5"/>
    <col width="7" customWidth="1" min="6" max="6"/>
  </cols>
  <sheetData>
    <row r="1" ht="30" customHeight="1">
      <c r="A1" s="3" t="inlineStr">
        <is>
          <t>Ahrefs site-explorer organic keywords, 2026-09-01, ordered by estimated traffic. "(old URL)" = pre-migration flat URL still credited by Ahrefs; it 301s to the new path.</t>
        </is>
      </c>
    </row>
    <row r="2">
      <c r="A2" s="4" t="inlineStr">
        <is>
          <t>Keyword</t>
        </is>
      </c>
      <c r="B2" s="4" t="inlineStr">
        <is>
          <t>Best position</t>
        </is>
      </c>
      <c r="C2" s="4" t="inlineStr">
        <is>
          <t>URL</t>
        </is>
      </c>
      <c r="D2" s="4" t="inlineStr">
        <is>
          <t>Volume</t>
        </is>
      </c>
      <c r="E2" s="4" t="inlineStr">
        <is>
          <t>Est. traffic</t>
        </is>
      </c>
      <c r="F2" s="4" t="inlineStr">
        <is>
          <t>KD</t>
        </is>
      </c>
    </row>
    <row r="3">
      <c r="A3" s="5" t="inlineStr">
        <is>
          <t>sienna charles</t>
        </is>
      </c>
      <c r="B3" s="5" t="n">
        <v>1</v>
      </c>
      <c r="C3" s="5" t="inlineStr">
        <is>
          <t>/</t>
        </is>
      </c>
      <c r="D3" s="11" t="n">
        <v>60</v>
      </c>
      <c r="E3" s="11" t="n">
        <v>23</v>
      </c>
      <c r="F3" s="5" t="n">
        <v>0</v>
      </c>
    </row>
    <row r="4">
      <c r="A4" s="5" t="inlineStr">
        <is>
          <t>luxury lifestyle management</t>
        </is>
      </c>
      <c r="B4" s="5" t="n">
        <v>8</v>
      </c>
      <c r="C4" s="5" t="inlineStr">
        <is>
          <t>/luxury-lifestyle-concierge</t>
        </is>
      </c>
      <c r="D4" s="11" t="n">
        <v>80</v>
      </c>
      <c r="E4" s="11" t="n">
        <v>3</v>
      </c>
      <c r="F4" s="5" t="n">
        <v>2</v>
      </c>
    </row>
    <row r="5">
      <c r="A5" s="5" t="inlineStr">
        <is>
          <t>navid mirtorabi</t>
        </is>
      </c>
      <c r="B5" s="5" t="n">
        <v>6</v>
      </c>
      <c r="C5" s="5" t="inlineStr">
        <is>
          <t>/magazine/interior-design/The-22-London-Luxury-Hotel</t>
        </is>
      </c>
      <c r="D5" s="11" t="n">
        <v>40</v>
      </c>
      <c r="E5" s="11" t="n">
        <v>2</v>
      </c>
      <c r="F5" s="5" t="n">
        <v>0</v>
      </c>
    </row>
    <row r="6">
      <c r="A6" s="5" t="inlineStr">
        <is>
          <t>the twenty two london</t>
        </is>
      </c>
      <c r="B6" s="5" t="n">
        <v>20</v>
      </c>
      <c r="C6" s="5" t="inlineStr">
        <is>
          <t>/magazine/interior-design/The-22-London-Luxury-Hotel</t>
        </is>
      </c>
      <c r="D6" s="11" t="n">
        <v>700</v>
      </c>
      <c r="E6" s="11" t="n">
        <v>2</v>
      </c>
      <c r="F6" s="5" t="n">
        <v>1</v>
      </c>
    </row>
    <row r="7">
      <c r="A7" s="5" t="inlineStr">
        <is>
          <t>galleries</t>
        </is>
      </c>
      <c r="B7" s="5" t="n">
        <v>3</v>
      </c>
      <c r="C7" s="5" t="inlineStr">
        <is>
          <t>experiences./art-galleries-of-london</t>
        </is>
      </c>
      <c r="D7" s="11" t="n">
        <v>900</v>
      </c>
      <c r="E7" s="11" t="n">
        <v>2</v>
      </c>
      <c r="F7" s="5" t="n">
        <v>51</v>
      </c>
    </row>
    <row r="8">
      <c r="A8" s="5" t="inlineStr">
        <is>
          <t>granite paris</t>
        </is>
      </c>
      <c r="B8" s="5" t="n">
        <v>11</v>
      </c>
      <c r="C8" s="5" t="inlineStr">
        <is>
          <t>/magazine/fine-dining/Granite-Paris</t>
        </is>
      </c>
      <c r="D8" s="11" t="n">
        <v>50</v>
      </c>
      <c r="E8" s="11" t="n">
        <v>1</v>
      </c>
      <c r="F8" s="5" t="n">
        <v>0</v>
      </c>
    </row>
    <row r="9">
      <c r="A9" s="5" t="inlineStr">
        <is>
          <t>the nines new york</t>
        </is>
      </c>
      <c r="B9" s="5" t="n">
        <v>10</v>
      </c>
      <c r="C9" s="5" t="inlineStr">
        <is>
          <t>/magazine/wine/The-Nines-NYC</t>
        </is>
      </c>
      <c r="D9" s="11" t="n">
        <v>20</v>
      </c>
      <c r="E9" s="11" t="n">
        <v>0</v>
      </c>
      <c r="F9" s="5" t="n">
        <v>6</v>
      </c>
    </row>
    <row r="10">
      <c r="A10" s="5" t="inlineStr">
        <is>
          <t>the22</t>
        </is>
      </c>
      <c r="B10" s="5" t="n">
        <v>6</v>
      </c>
      <c r="C10" s="5" t="inlineStr">
        <is>
          <t>/magazine/interior-design/The-22-London-Luxury-Hotel</t>
        </is>
      </c>
      <c r="D10" s="11" t="n">
        <v>40</v>
      </c>
      <c r="E10" s="11" t="n">
        <v>0</v>
      </c>
      <c r="F10" s="5" t="n">
        <v>0</v>
      </c>
    </row>
    <row r="12">
      <c r="A12" s="8" t="inlineStr">
        <is>
          <t>Total est. traffic (listed rows)</t>
        </is>
      </c>
      <c r="E12" s="17">
        <f>SUM(E3:E10)</f>
        <v/>
      </c>
    </row>
  </sheetData>
  <autoFilter ref="A2:F10"/>
  <mergeCells count="1">
    <mergeCell ref="A1:F1"/>
  </mergeCell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F40"/>
  <sheetViews>
    <sheetView workbookViewId="0">
      <pane ySplit="2" topLeftCell="A3" activePane="bottomLeft" state="frozen"/>
      <selection pane="bottomLeft" activeCell="A1" sqref="A1"/>
    </sheetView>
  </sheetViews>
  <sheetFormatPr baseColWidth="8" defaultRowHeight="15"/>
  <cols>
    <col width="70" customWidth="1" min="1" max="1"/>
    <col width="11" customWidth="1" min="2" max="2"/>
    <col width="10" customWidth="1" min="3" max="3"/>
    <col width="34" customWidth="1" min="4" max="4"/>
    <col width="10" customWidth="1" min="5" max="5"/>
    <col width="34" customWidth="1" min="6" max="6"/>
  </cols>
  <sheetData>
    <row r="1" ht="30" customHeight="1">
      <c r="A1" s="3" t="inlineStr">
        <is>
          <t>Ahrefs top pages 2026-09-01 plus site: searches. Pattern: 3 service pages carry the head terms; a magazine and venue/destination pages supply citable content and links; an experiences subdomain holds once-in-a-lifetime product pages. Cloudflare blocks crawlers, so on-page detail was not audited.</t>
        </is>
      </c>
    </row>
    <row r="2">
      <c r="A2" s="4" t="inlineStr">
        <is>
          <t>URL</t>
        </is>
      </c>
      <c r="B2" s="4" t="inlineStr">
        <is>
          <t>Est. traffic</t>
        </is>
      </c>
      <c r="C2" s="4" t="inlineStr">
        <is>
          <t>Keywords</t>
        </is>
      </c>
      <c r="D2" s="4" t="inlineStr">
        <is>
          <t>Top keyword</t>
        </is>
      </c>
      <c r="E2" s="4" t="inlineStr">
        <is>
          <t>Top position</t>
        </is>
      </c>
      <c r="F2" s="4" t="inlineStr">
        <is>
          <t>Page type</t>
        </is>
      </c>
    </row>
    <row r="3">
      <c r="A3" s="5" t="inlineStr">
        <is>
          <t>/magazine/wine/The-Nines-NYC</t>
        </is>
      </c>
      <c r="B3" s="5" t="n">
        <v>512</v>
      </c>
      <c r="C3" s="5" t="n">
        <v>36</v>
      </c>
      <c r="D3" s="5" t="inlineStr">
        <is>
          <t>the nines nyc</t>
        </is>
      </c>
      <c r="E3" s="5" t="n">
        <v>9</v>
      </c>
      <c r="F3" s="5" t="inlineStr">
        <is>
          <t>Magazine / venue review</t>
        </is>
      </c>
    </row>
    <row r="4">
      <c r="A4" s="5" t="inlineStr">
        <is>
          <t>/vip-luxury-concierge</t>
        </is>
      </c>
      <c r="B4" s="5" t="n">
        <v>487</v>
      </c>
      <c r="C4" s="5" t="n">
        <v>42</v>
      </c>
      <c r="D4" s="5" t="inlineStr">
        <is>
          <t>luxury concierge service</t>
        </is>
      </c>
      <c r="E4" s="5" t="n">
        <v>4</v>
      </c>
      <c r="F4" s="5" t="inlineStr">
        <is>
          <t>Service page (head term)</t>
        </is>
      </c>
    </row>
    <row r="5">
      <c r="A5" s="5" t="inlineStr">
        <is>
          <t>/</t>
        </is>
      </c>
      <c r="B5" s="5" t="n">
        <v>271</v>
      </c>
      <c r="C5" s="5" t="n">
        <v>3</v>
      </c>
      <c r="D5" s="5" t="inlineStr">
        <is>
          <t>sienna charles</t>
        </is>
      </c>
      <c r="E5" s="5" t="n">
        <v>1</v>
      </c>
      <c r="F5" s="5" t="inlineStr">
        <is>
          <t>Homepage / brand</t>
        </is>
      </c>
    </row>
    <row r="6">
      <c r="A6" s="5" t="inlineStr">
        <is>
          <t>/luxury-lifestyle-concierge</t>
        </is>
      </c>
      <c r="B6" s="5" t="n">
        <v>190</v>
      </c>
      <c r="C6" s="5" t="n">
        <v>13</v>
      </c>
      <c r="D6" s="5" t="inlineStr">
        <is>
          <t>luxury lifestyle concierge</t>
        </is>
      </c>
      <c r="E6" s="5" t="n">
        <v>3</v>
      </c>
      <c r="F6" s="5" t="inlineStr">
        <is>
          <t>Service page</t>
        </is>
      </c>
    </row>
    <row r="7">
      <c r="A7" s="5" t="inlineStr">
        <is>
          <t>/magazine</t>
        </is>
      </c>
      <c r="B7" s="5" t="n">
        <v>190</v>
      </c>
      <c r="C7" s="5" t="n">
        <v>1</v>
      </c>
      <c r="D7" s="5" t="inlineStr">
        <is>
          <t>luxury interior design</t>
        </is>
      </c>
      <c r="E7" s="5" t="n">
        <v>6</v>
      </c>
      <c r="F7" s="5" t="inlineStr">
        <is>
          <t>Magazine hub</t>
        </is>
      </c>
    </row>
    <row r="8">
      <c r="A8" s="5" t="inlineStr">
        <is>
          <t>/luxury-travel-concierge</t>
        </is>
      </c>
      <c r="B8" s="5" t="n">
        <v>115</v>
      </c>
      <c r="C8" s="5" t="n">
        <v>18</v>
      </c>
      <c r="D8" s="5" t="inlineStr">
        <is>
          <t>luxury travel concierge</t>
        </is>
      </c>
      <c r="E8" s="5" t="n">
        <v>7</v>
      </c>
      <c r="F8" s="5" t="inlineStr">
        <is>
          <t>Service page</t>
        </is>
      </c>
    </row>
    <row r="9">
      <c r="A9" s="5" t="inlineStr">
        <is>
          <t>/become-a-member</t>
        </is>
      </c>
      <c r="B9" s="5" t="n">
        <v>57</v>
      </c>
      <c r="C9" s="5" t="n">
        <v>7</v>
      </c>
      <c r="D9" s="5" t="inlineStr">
        <is>
          <t>luxury concierge services</t>
        </is>
      </c>
      <c r="E9" s="5" t="n">
        <v>3</v>
      </c>
      <c r="F9" s="5" t="inlineStr">
        <is>
          <t>Membership / conversion</t>
        </is>
      </c>
    </row>
    <row r="10">
      <c r="A10" s="5" t="inlineStr">
        <is>
          <t>/private-luxury-villas/sicily</t>
        </is>
      </c>
      <c r="B10" s="5" t="n">
        <v>51</v>
      </c>
      <c r="C10" s="5" t="n">
        <v>16</v>
      </c>
      <c r="D10" s="5" t="inlineStr">
        <is>
          <t>sicily luxury villas</t>
        </is>
      </c>
      <c r="E10" s="5" t="n">
        <v>11</v>
      </c>
      <c r="F10" s="5" t="inlineStr">
        <is>
          <t>Destination / product</t>
        </is>
      </c>
    </row>
    <row r="11">
      <c r="A11" s="5" t="inlineStr">
        <is>
          <t>/magazine/fine-dining/Granite-Paris</t>
        </is>
      </c>
      <c r="B11" s="5" t="n">
        <v>36</v>
      </c>
      <c r="C11" s="5" t="n">
        <v>6</v>
      </c>
      <c r="D11" s="5" t="inlineStr">
        <is>
          <t>granite paris</t>
        </is>
      </c>
      <c r="E11" s="5" t="n">
        <v>7</v>
      </c>
      <c r="F11" s="5" t="inlineStr">
        <is>
          <t>Magazine / venue review</t>
        </is>
      </c>
    </row>
    <row r="12">
      <c r="A12" s="5" t="inlineStr">
        <is>
          <t>/magazine/interior-design/trends-in-luxury-interior-design</t>
        </is>
      </c>
      <c r="B12" s="5" t="n">
        <v>26</v>
      </c>
      <c r="C12" s="5" t="n">
        <v>9</v>
      </c>
      <c r="D12" s="5" t="inlineStr">
        <is>
          <t>interior design luxury</t>
        </is>
      </c>
      <c r="E12" s="5" t="n">
        <v>7</v>
      </c>
      <c r="F12" s="5" t="inlineStr">
        <is>
          <t>Magazine article</t>
        </is>
      </c>
    </row>
    <row r="13">
      <c r="A13" s="5" t="inlineStr">
        <is>
          <t>/about/our-founder</t>
        </is>
      </c>
      <c r="B13" s="5" t="n">
        <v>25</v>
      </c>
      <c r="C13" s="5" t="n">
        <v>3</v>
      </c>
      <c r="D13" s="5" t="inlineStr">
        <is>
          <t>jaclyn sienna india</t>
        </is>
      </c>
      <c r="E13" s="5" t="n">
        <v>3</v>
      </c>
      <c r="F13" s="5" t="inlineStr">
        <is>
          <t>Founder / entity page</t>
        </is>
      </c>
    </row>
    <row r="14">
      <c r="A14" s="5" t="inlineStr">
        <is>
          <t>/magazine/interior-design/The-22-London-Luxury-Hotel</t>
        </is>
      </c>
      <c r="B14" s="5" t="n">
        <v>17</v>
      </c>
      <c r="C14" s="5" t="n">
        <v>5</v>
      </c>
      <c r="D14" s="5" t="inlineStr">
        <is>
          <t>22 london</t>
        </is>
      </c>
      <c r="E14" s="5" t="n">
        <v>7</v>
      </c>
      <c r="F14" s="5" t="inlineStr">
        <is>
          <t>Magazine / venue review</t>
        </is>
      </c>
    </row>
    <row r="15">
      <c r="A15" s="5" t="inlineStr">
        <is>
          <t>/magazine/beauty/Biologique-recherche-LA</t>
        </is>
      </c>
      <c r="B15" s="5" t="n">
        <v>13</v>
      </c>
      <c r="C15" s="5" t="n">
        <v>3</v>
      </c>
      <c r="D15" s="5" t="inlineStr">
        <is>
          <t>biologique recherche los angeles</t>
        </is>
      </c>
      <c r="E15" s="5" t="n">
        <v>8</v>
      </c>
      <c r="F15" s="5" t="inlineStr">
        <is>
          <t>Magazine / venue review</t>
        </is>
      </c>
    </row>
    <row r="16">
      <c r="A16" s="5" t="inlineStr">
        <is>
          <t>/magazine/fine-dining</t>
        </is>
      </c>
      <c r="B16" s="5" t="n">
        <v>13</v>
      </c>
      <c r="C16" s="5" t="n">
        <v>2</v>
      </c>
      <c r="D16" s="5" t="inlineStr">
        <is>
          <t>la dolce vita beverly hills</t>
        </is>
      </c>
      <c r="E16" s="5" t="n">
        <v>15</v>
      </c>
      <c r="F16" s="5" t="inlineStr">
        <is>
          <t>Magazine category</t>
        </is>
      </c>
    </row>
    <row r="17">
      <c r="A17" s="5" t="inlineStr">
        <is>
          <t>/luxury-hotels/miami</t>
        </is>
      </c>
      <c r="B17" s="5" t="n">
        <v>12</v>
      </c>
      <c r="C17" s="5" t="n">
        <v>6</v>
      </c>
      <c r="D17" s="5" t="inlineStr">
        <is>
          <t>most luxurious hotels in miami</t>
        </is>
      </c>
      <c r="E17" s="5" t="n">
        <v>7</v>
      </c>
      <c r="F17" s="5" t="inlineStr">
        <is>
          <t>Destination / product</t>
        </is>
      </c>
    </row>
    <row r="18">
      <c r="A18" s="5" t="inlineStr">
        <is>
          <t>/luxury-fine-dining-restaurants</t>
        </is>
      </c>
      <c r="B18" s="5" t="n">
        <v>10</v>
      </c>
      <c r="C18" s="5" t="n">
        <v>2</v>
      </c>
      <c r="D18" s="5" t="inlineStr">
        <is>
          <t>fine dining reservations</t>
        </is>
      </c>
      <c r="E18" s="5" t="n">
        <v>4</v>
      </c>
      <c r="F18" s="5" t="inlineStr">
        <is>
          <t>Service page</t>
        </is>
      </c>
    </row>
    <row r="19">
      <c r="A19" s="5" t="inlineStr">
        <is>
          <t>/michelin-star-restaurants/london</t>
        </is>
      </c>
      <c r="B19" s="5" t="n">
        <v>8</v>
      </c>
      <c r="C19" s="5" t="n">
        <v>4</v>
      </c>
      <c r="D19" s="5" t="inlineStr">
        <is>
          <t>fine dining london</t>
        </is>
      </c>
      <c r="E19" s="5" t="n">
        <v>9</v>
      </c>
      <c r="F19" s="5" t="inlineStr">
        <is>
          <t>Destination / product</t>
        </is>
      </c>
    </row>
    <row r="20">
      <c r="A20" s="5" t="inlineStr">
        <is>
          <t>/magazine/lifestyle</t>
        </is>
      </c>
      <c r="B20" s="5" t="n">
        <v>8</v>
      </c>
      <c r="C20" s="5" t="n">
        <v>1</v>
      </c>
      <c r="D20" s="5" t="inlineStr">
        <is>
          <t>via coquina</t>
        </is>
      </c>
      <c r="E20" s="5" t="n">
        <v>6</v>
      </c>
      <c r="F20" s="5" t="inlineStr">
        <is>
          <t>Magazine category</t>
        </is>
      </c>
    </row>
    <row r="21">
      <c r="A21" s="5" t="inlineStr">
        <is>
          <t>/magazine/wine/Bar-Monette</t>
        </is>
      </c>
      <c r="B21" s="5" t="n">
        <v>7</v>
      </c>
      <c r="C21" s="5" t="n">
        <v>6</v>
      </c>
      <c r="D21" s="5" t="inlineStr">
        <is>
          <t>bar monette</t>
        </is>
      </c>
      <c r="E21" s="5" t="n">
        <v>6</v>
      </c>
      <c r="F21" s="5" t="inlineStr">
        <is>
          <t>Magazine / venue review</t>
        </is>
      </c>
    </row>
    <row r="22">
      <c r="A22" s="5" t="inlineStr">
        <is>
          <t>/private-jet-tours</t>
        </is>
      </c>
      <c r="B22" s="5" t="n">
        <v>7</v>
      </c>
      <c r="C22" s="5" t="n">
        <v>2</v>
      </c>
      <c r="D22" s="5" t="inlineStr">
        <is>
          <t>private jet tour</t>
        </is>
      </c>
      <c r="E22" s="5" t="n">
        <v>10</v>
      </c>
      <c r="F22" s="5" t="inlineStr">
        <is>
          <t>Service page</t>
        </is>
      </c>
    </row>
    <row r="23">
      <c r="A23" s="5" t="inlineStr">
        <is>
          <t>experiences.siennacharles.com/art-galleries-of-london</t>
        </is>
      </c>
      <c r="B23" s="5" t="n">
        <v>7</v>
      </c>
      <c r="C23" s="5" t="n">
        <v>1</v>
      </c>
      <c r="D23" s="5" t="inlineStr">
        <is>
          <t>galleries</t>
        </is>
      </c>
      <c r="E23" s="5" t="n">
        <v>3</v>
      </c>
      <c r="F23" s="5" t="inlineStr">
        <is>
          <t>Experience page (subdomain)</t>
        </is>
      </c>
    </row>
    <row r="24">
      <c r="A24" s="5" t="inlineStr">
        <is>
          <t>/private-island-rental</t>
        </is>
      </c>
      <c r="B24" s="5" t="n">
        <v>5</v>
      </c>
      <c r="C24" s="5" t="n">
        <v>6</v>
      </c>
      <c r="D24" s="5" t="inlineStr">
        <is>
          <t>private island rental caribbean</t>
        </is>
      </c>
      <c r="E24" s="5" t="n">
        <v>11</v>
      </c>
      <c r="F24" s="5" t="inlineStr">
        <is>
          <t>Service page</t>
        </is>
      </c>
    </row>
    <row r="25">
      <c r="A25" s="5" t="inlineStr">
        <is>
          <t>/magazine/lifestyle/palm-beachs-premier-luxury-boutique</t>
        </is>
      </c>
      <c r="B25" s="5" t="n">
        <v>5</v>
      </c>
      <c r="C25" s="5" t="n">
        <v>1</v>
      </c>
      <c r="D25" s="5" t="inlineStr">
        <is>
          <t>via coquina palm beach</t>
        </is>
      </c>
      <c r="E25" s="5" t="n">
        <v>4</v>
      </c>
      <c r="F25" s="5" t="inlineStr">
        <is>
          <t>Magazine / venue review</t>
        </is>
      </c>
    </row>
    <row r="26">
      <c r="A26" s="5" t="inlineStr">
        <is>
          <t>/contact</t>
        </is>
      </c>
      <c r="B26" s="5" t="n">
        <v>4</v>
      </c>
      <c r="C26" s="5" t="n">
        <v>1</v>
      </c>
      <c r="D26" s="5" t="inlineStr">
        <is>
          <t>sienna charles</t>
        </is>
      </c>
      <c r="E26" s="5" t="n">
        <v>1</v>
      </c>
      <c r="F26" s="5" t="inlineStr">
        <is>
          <t>Contact</t>
        </is>
      </c>
    </row>
    <row r="27">
      <c r="A27" s="5" t="inlineStr">
        <is>
          <t>experiences.siennacharles.com/</t>
        </is>
      </c>
      <c r="B27" s="5" t="n">
        <v>4</v>
      </c>
      <c r="C27" s="5" t="n">
        <v>1</v>
      </c>
      <c r="D27" s="5" t="inlineStr">
        <is>
          <t>sienna charles</t>
        </is>
      </c>
      <c r="E27" s="5" t="n">
        <v>1</v>
      </c>
      <c r="F27" s="5" t="inlineStr">
        <is>
          <t>Experiences hub (subdomain)</t>
        </is>
      </c>
    </row>
    <row r="28">
      <c r="A28" s="5" t="inlineStr">
        <is>
          <t>/private-island-rental/bahamas</t>
        </is>
      </c>
      <c r="B28" s="5" t="n">
        <v>2</v>
      </c>
      <c r="C28" s="5" t="n">
        <v>2</v>
      </c>
      <c r="D28" s="5" t="inlineStr">
        <is>
          <t>private island rentals bahamas</t>
        </is>
      </c>
      <c r="E28" s="5" t="n">
        <v>9</v>
      </c>
      <c r="F28" s="5" t="inlineStr">
        <is>
          <t>Destination / product</t>
        </is>
      </c>
    </row>
    <row r="29">
      <c r="A29" s="5" t="inlineStr">
        <is>
          <t>/vip-event-concierge</t>
        </is>
      </c>
      <c r="B29" s="5" t="n">
        <v>1</v>
      </c>
      <c r="C29" s="5" t="n">
        <v>1</v>
      </c>
      <c r="D29" s="5" t="inlineStr">
        <is>
          <t>concierge tickets</t>
        </is>
      </c>
      <c r="E29" s="5" t="n">
        <v>11</v>
      </c>
      <c r="F29" s="5" t="inlineStr">
        <is>
          <t>Service page</t>
        </is>
      </c>
    </row>
    <row r="30">
      <c r="A30" s="5" t="inlineStr">
        <is>
          <t>/michelin-star-restaurants/nyc</t>
        </is>
      </c>
      <c r="B30" s="5" t="n">
        <v>0</v>
      </c>
      <c r="C30" s="5" t="n">
        <v>1</v>
      </c>
      <c r="D30" s="5" t="inlineStr">
        <is>
          <t>restaurants in usa</t>
        </is>
      </c>
      <c r="E30" s="5" t="n">
        <v>1</v>
      </c>
      <c r="F30" s="5" t="inlineStr">
        <is>
          <t>Destination / product</t>
        </is>
      </c>
    </row>
    <row r="31">
      <c r="A31" s="5" t="inlineStr">
        <is>
          <t>/michelin-star-restaurants/miami</t>
        </is>
      </c>
      <c r="B31" s="5" t="n">
        <v>0</v>
      </c>
      <c r="C31" s="5" t="n">
        <v>1</v>
      </c>
      <c r="D31" s="5" t="inlineStr">
        <is>
          <t>michelin star restaurants miami 2023</t>
        </is>
      </c>
      <c r="E31" s="5" t="n">
        <v>1</v>
      </c>
      <c r="F31" s="5" t="inlineStr">
        <is>
          <t>Destination / product</t>
        </is>
      </c>
    </row>
    <row r="32">
      <c r="A32" s="5" t="inlineStr">
        <is>
          <t>/luxury-hotels/tokyo</t>
        </is>
      </c>
      <c r="B32" s="5" t="n">
        <v>0</v>
      </c>
      <c r="C32" s="5" t="n">
        <v>1</v>
      </c>
      <c r="D32" s="5" t="inlineStr">
        <is>
          <t>best hotel to stay in tokyo japan</t>
        </is>
      </c>
      <c r="E32" s="5" t="n">
        <v>1</v>
      </c>
      <c r="F32" s="5" t="inlineStr">
        <is>
          <t>Destination / product</t>
        </is>
      </c>
    </row>
    <row r="33">
      <c r="A33" s="5" t="inlineStr">
        <is>
          <t>/press</t>
        </is>
      </c>
      <c r="B33" s="5" t="n"/>
      <c r="C33" s="5" t="n"/>
      <c r="D33" s="5" t="inlineStr"/>
      <c r="E33" s="5" t="n"/>
      <c r="F33" s="5" t="inlineStr">
        <is>
          <t>Press page (Vogue, WSJ, BBC...)</t>
        </is>
      </c>
    </row>
    <row r="34">
      <c r="A34" s="5" t="inlineStr">
        <is>
          <t>/membership</t>
        </is>
      </c>
      <c r="B34" s="5" t="n"/>
      <c r="C34" s="5" t="n"/>
      <c r="D34" s="5" t="inlineStr"/>
      <c r="E34" s="5" t="n"/>
      <c r="F34" s="5" t="inlineStr">
        <is>
          <t>Membership page</t>
        </is>
      </c>
    </row>
    <row r="35">
      <c r="A35" s="5" t="inlineStr">
        <is>
          <t>/policy, /terms, /nonmemberterms, /preferences</t>
        </is>
      </c>
      <c r="B35" s="5" t="n"/>
      <c r="C35" s="5" t="n"/>
      <c r="D35" s="5" t="inlineStr"/>
      <c r="E35" s="5" t="n"/>
      <c r="F35" s="5" t="inlineStr">
        <is>
          <t>Legal / member pages (indexed)</t>
        </is>
      </c>
    </row>
    <row r="36">
      <c r="A36" s="5" t="inlineStr">
        <is>
          <t>experiences.siennacharles.com/{antartica, bordeaux-tour, paris-olympics, play-augusta, f1-vegas-paddock, jiro-sushi-privatized, private-yacht-dubai, st-barths-dining, bhutan-by-helicopter}</t>
        </is>
      </c>
      <c r="B36" s="5" t="n"/>
      <c r="C36" s="5" t="n"/>
      <c r="D36" s="5" t="inlineStr"/>
      <c r="E36" s="5" t="n"/>
      <c r="F36" s="5" t="inlineStr">
        <is>
          <t>Once-in-a-lifetime experience pages (subdomain)</t>
        </is>
      </c>
    </row>
    <row r="38">
      <c r="A38" s="8" t="inlineStr">
        <is>
          <t>Traffic on service + membership pages</t>
        </is>
      </c>
      <c r="B38" s="17">
        <f>SUMIF(F3:F36,"Service page*",B3:B36)+SUMIF(F3:F36,"Membership*",B3:B36)</f>
        <v/>
      </c>
    </row>
    <row r="39">
      <c r="A39" s="8" t="inlineStr">
        <is>
          <t>Traffic on magazine / venue / destination pages</t>
        </is>
      </c>
      <c r="B39" s="17">
        <f>SUMIF(F3:F36,"Magazine*",B3:B36)+SUMIF(F3:F36,"Destination*",B3:B36)</f>
        <v/>
      </c>
    </row>
    <row r="40">
      <c r="A40" s="8" t="inlineStr">
        <is>
          <t>Homepage / brand</t>
        </is>
      </c>
      <c r="B40" s="17">
        <f>SUMIF(F3:F36,"Homepage*",B3:B36)</f>
        <v/>
      </c>
    </row>
  </sheetData>
  <autoFilter ref="A2:F36"/>
  <mergeCells count="1">
    <mergeCell ref="A1:F1"/>
  </mergeCell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F10"/>
  <sheetViews>
    <sheetView workbookViewId="0">
      <pane ySplit="2" topLeftCell="A3" activePane="bottomLeft" state="frozen"/>
      <selection pane="bottomLeft" activeCell="A1" sqref="A1"/>
    </sheetView>
  </sheetViews>
  <sheetFormatPr baseColWidth="8" defaultRowHeight="15"/>
  <cols>
    <col width="30" customWidth="1" min="1" max="1"/>
    <col width="12" customWidth="1" min="2" max="2"/>
    <col width="55" customWidth="1" min="3" max="3"/>
    <col width="80" customWidth="1" min="4" max="4"/>
    <col width="26" customWidth="1" min="5" max="5"/>
    <col width="22" customWidth="1" min="6" max="6"/>
  </cols>
  <sheetData>
    <row r="1" ht="30" customHeight="1">
      <c r="A1" s="3" t="inlineStr">
        <is>
          <t>SERPAPI, Google desktop, 2 Sep 2026. AI Overview text could not be retrieved (Google returned an empty overview on the follow-up call); presence is recorded where the SERP carried one.</t>
        </is>
      </c>
    </row>
    <row r="2">
      <c r="A2" s="4" t="inlineStr">
        <is>
          <t>Query</t>
        </is>
      </c>
      <c r="B2" s="4" t="inlineStr">
        <is>
          <t>Market</t>
        </is>
      </c>
      <c r="C2" s="4" t="inlineStr">
        <is>
          <t>SERP features</t>
        </is>
      </c>
      <c r="D2" s="4" t="inlineStr">
        <is>
          <t>Organic top 9</t>
        </is>
      </c>
      <c r="E2" s="4" t="inlineStr">
        <is>
          <t>KC</t>
        </is>
      </c>
      <c r="F2" s="4" t="inlineStr">
        <is>
          <t>SC</t>
        </is>
      </c>
    </row>
    <row r="3">
      <c r="A3" s="5" t="inlineStr">
        <is>
          <t>luxury concierge service</t>
        </is>
      </c>
      <c r="B3" s="5" t="inlineStr">
        <is>
          <t>UK (London)</t>
        </is>
      </c>
      <c r="C3" s="5" t="inlineStr">
        <is>
          <t>Local pack: Luxury Concierge Service ltd (1 review), Book Concierge (10), The Fixer Lifestyle Group (1). AI Overview shown. PAA: best luxury concierge service? how expensive? private concierge cost?</t>
        </is>
      </c>
      <c r="D3" s="5" t="inlineStr">
        <is>
          <t>1 quintessentially.com; 2 luxuryconciergeservice.co.uk; 3 48london.com; 4 tatler.com best-of (names KC); 5 berkeleytravel.co.uk; 6 luxurylondon.co.uk listicle; 7 innerplace.co.uk; 8 the-fixer.co.uk; 9 justluxe.com</t>
        </is>
      </c>
      <c r="E3" s="5" t="inlineStr">
        <is>
          <t>Absent page 1</t>
        </is>
      </c>
      <c r="F3" s="5" t="inlineStr">
        <is>
          <t>Absent</t>
        </is>
      </c>
    </row>
    <row r="4">
      <c r="A4" s="5" t="inlineStr">
        <is>
          <t>best luxury concierge service</t>
        </is>
      </c>
      <c r="B4" s="5" t="inlineStr">
        <is>
          <t>UK (London)</t>
        </is>
      </c>
      <c r="C4" s="5" t="inlineStr">
        <is>
          <t>Local pack: The Fixer, VC Car Club (35), Marrakech Concierge (231). AI Overview shown. PAA: best in the world? Quintessentially cost? world elite concierge?</t>
        </is>
      </c>
      <c r="D4" s="5" t="inlineStr">
        <is>
          <t>1 quintessentially.com; 2 luxurylondon.co.uk listicle; 3 tatler.com (names Wonder &amp; Ink, Guiding Generations, Knightsbridge Circle, Arthur's House); 4 the-fixer.co.uk; 5 quora; 6 berkeleytravel; 7 luxuryconciergeservice.co.uk; 8 medium LVM top-10; 9 48london.com</t>
        </is>
      </c>
      <c r="E4" s="5" t="inlineStr">
        <is>
          <t>Absent (named in Tatler #3)</t>
        </is>
      </c>
      <c r="F4" s="5" t="inlineStr">
        <is>
          <t>Absent</t>
        </is>
      </c>
    </row>
    <row r="5">
      <c r="A5" s="5" t="inlineStr">
        <is>
          <t>luxury concierge service</t>
        </is>
      </c>
      <c r="B5" s="5" t="inlineStr">
        <is>
          <t>US</t>
        </is>
      </c>
      <c r="C5" s="5" t="inlineStr">
        <is>
          <t>Local pack: Luxury Island Concierge, Miami VIP Concierge (46), Aspen Luxury Concierge (23). AI Overview shown. PAA x4 incl 'best luxury concierge service' and 'how much do concierge services charge'</t>
        </is>
      </c>
      <c r="D5" s="5" t="inlineStr">
        <is>
          <t>1 quintessentially.com/services; 2 siennacharles.com/vip-luxury-concierge; 3 justluxe.com best-of (Jul 2026, names both); 4 thehoustonluxurynetwork.com; 5 nightfallgroup.com/concierge/miami; 6 resident.com 11 best; 7 theluxelistatlanta.com; 8 pinterest; 9 tatler.com</t>
        </is>
      </c>
      <c r="E5" s="5" t="inlineStr">
        <is>
          <t>Absent page 1 (Ahrefs #21 via /locations hub)</t>
        </is>
      </c>
      <c r="F5" s="5" t="inlineStr">
        <is>
          <t>#2</t>
        </is>
      </c>
    </row>
    <row r="6">
      <c r="A6" s="5" t="inlineStr">
        <is>
          <t>luxury lifestyle concierge</t>
        </is>
      </c>
      <c r="B6" s="5" t="inlineStr">
        <is>
          <t>US (New York)</t>
        </is>
      </c>
      <c r="C6" s="5" t="inlineStr">
        <is>
          <t>Local pack: 3 small LLCs. AI Overview shown. PAA x4</t>
        </is>
      </c>
      <c r="D6" s="5" t="inlineStr">
        <is>
          <t>1 quintessentially.com/services; 2 siennacharles.com/luxury-lifestyle-concierge; 3 justluxe.com; 4 yelp; 5 knightsbridgecircle.com/locations/new-york-concierge-service; 6 essentialyfe.com; 7 luxurylifestylecs.com; 8 resident.com; 9 versently.com</t>
        </is>
      </c>
      <c r="E6" s="5" t="inlineStr">
        <is>
          <t>#5 (NY page)</t>
        </is>
      </c>
      <c r="F6" s="5" t="inlineStr">
        <is>
          <t>#2</t>
        </is>
      </c>
    </row>
    <row r="7">
      <c r="A7" s="5" t="inlineStr">
        <is>
          <t>best luxury concierge service</t>
        </is>
      </c>
      <c r="B7" s="5" t="inlineStr">
        <is>
          <t>US</t>
        </is>
      </c>
      <c r="C7" s="5" t="inlineStr">
        <is>
          <t>Local pack (3 small operators). AI Overview shown. PAA: best luxury concierge service? best concierge service? how to choose? how much does a private concierge cost?</t>
        </is>
      </c>
      <c r="D7" s="5" t="inlineStr">
        <is>
          <t>1 quintessentially.com/services; 2 justluxe.com best-of (names both); 3 siennacharles.com/vip-luxury-concierge; 4 billionaireconcierge.com LA; 5 knightsbridgecircle.com/locations/los-angeles-concierge-service; 6 tatler.com (names KC); 7 forbes.com KC feature; 8 hauteblack.com guide; 9 themaimongroup.com</t>
        </is>
      </c>
      <c r="E7" s="5" t="inlineStr">
        <is>
          <t>#5 (LA page) + Forbes feature #7</t>
        </is>
      </c>
      <c r="F7" s="5" t="inlineStr">
        <is>
          <t>#3</t>
        </is>
      </c>
    </row>
    <row r="8">
      <c r="A8" s="5" t="inlineStr">
        <is>
          <t>knightsbridge circle vs sienna charles</t>
        </is>
      </c>
      <c r="B8" s="5" t="inlineStr">
        <is>
          <t>US</t>
        </is>
      </c>
      <c r="C8" s="5" t="inlineStr">
        <is>
          <t>AI Overview shown. PAA: best concierge company in the world? best in NYC? best luxury concierge? what is Sienna Charles known for? Related: reviews, reddit, price, cost</t>
        </is>
      </c>
      <c r="D8" s="5" t="inlineStr">
        <is>
          <t>1 thetimes.com concierges feature (Dec 2024); 2 siennacharles.com/vip-luxury-concierge; 3 thechicicon.com Five Concierge Services (Apr 2026, both); 4 LinkedIn SC; 5 reddit r/Rich (recommends SC); 6 justluxe.com (both); 7 hollywoodreporter.com SC $150k; 8 YouTube KC CEO; 9 knightsbridgecircle.com/luxury-travel-concierge</t>
        </is>
      </c>
      <c r="E8" s="5" t="inlineStr">
        <is>
          <t>#9</t>
        </is>
      </c>
      <c r="F8" s="5" t="inlineStr">
        <is>
          <t>#2</t>
        </is>
      </c>
    </row>
    <row r="9">
      <c r="A9" s="5" t="inlineStr">
        <is>
          <t>knightsbridge circle reviews</t>
        </is>
      </c>
      <c r="B9" s="5" t="inlineStr">
        <is>
          <t>UK</t>
        </is>
      </c>
      <c r="C9" s="5" t="inlineStr">
        <is>
          <t>Knowledge panel: Travel agent, 4.2 (29), address Montpelier St, UNCLAIMED LISTING. AI Overview. PAA: founder? best credit card concierge? Quintessentially cost? Velocity Black cost?</t>
        </is>
      </c>
      <c r="D9" s="5" t="inlineStr">
        <is>
          <t>1 forbes.com 2024 most exclusive club; 2 knightsbridgecircle.com; 3 YouTube CEO interview; 4 luxuriousmagazine.com Elite Tier; 5 stirlingaccess.com/compare/knightsbridge-circle (competitor comparison page!); 6 beaumondetraveler interview; 7 nytimes.com Oct 2025 ($50k, 120 members); 8 elitetraveler.com; 9 trustpilot (wrong company)</t>
        </is>
      </c>
      <c r="E9" s="5" t="inlineStr">
        <is>
          <t>#2 (no reviews page of its own)</t>
        </is>
      </c>
      <c r="F9" s="5" t="inlineStr">
        <is>
          <t>n/a</t>
        </is>
      </c>
    </row>
    <row r="10">
      <c r="A10" s="5" t="inlineStr">
        <is>
          <t>sienna charles reviews</t>
        </is>
      </c>
      <c r="B10" s="5" t="inlineStr">
        <is>
          <t>US</t>
        </is>
      </c>
      <c r="C10" s="5" t="inlineStr">
        <is>
          <t>AI Overview. PAA: CEO? Related: lawsuit, reddit, yelp, glassdoor</t>
        </is>
      </c>
      <c r="D10" s="5" t="inlineStr">
        <is>
          <t>1 glassdoor 4.1 (36); 2 comparably (leadership F); 3 reddit/YouTube negative; 4 indeed 1.5 (2); 5 siennacharles.com; 6 rocketreach; 7 travelweekly; 8 instagram; 9 App Store 5.0 (1)</t>
        </is>
      </c>
      <c r="E10" s="5" t="inlineStr">
        <is>
          <t>n/a</t>
        </is>
      </c>
      <c r="F10" s="5" t="inlineStr">
        <is>
          <t>#5 (does not control its own review SERP)</t>
        </is>
      </c>
    </row>
  </sheetData>
  <autoFilter ref="A2:F10"/>
  <mergeCells count="1">
    <mergeCell ref="A1:F1"/>
  </mergeCell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P53"/>
  <sheetViews>
    <sheetView workbookViewId="0">
      <pane ySplit="2" topLeftCell="A3" activePane="bottomLeft" state="frozen"/>
      <selection pane="bottomLeft" activeCell="A1" sqref="A1"/>
    </sheetView>
  </sheetViews>
  <sheetFormatPr baseColWidth="8" defaultRowHeight="15"/>
  <cols>
    <col width="44" customWidth="1" min="1" max="1"/>
    <col width="12" customWidth="1" min="2" max="2"/>
    <col width="44" customWidth="1" min="3" max="3"/>
    <col width="7" customWidth="1" min="4" max="4"/>
    <col width="44" customWidth="1" min="5" max="5"/>
    <col width="7" customWidth="1" min="6" max="6"/>
    <col width="36" customWidth="1" min="7" max="7"/>
    <col width="50" customWidth="1" min="8" max="8"/>
    <col width="9" customWidth="1" min="9" max="9"/>
    <col width="30" customWidth="1" min="10" max="10"/>
    <col width="9" customWidth="1" min="11" max="11"/>
    <col width="9" customWidth="1" min="12" max="12"/>
    <col width="6" customWidth="1" min="13" max="13"/>
    <col width="12" customWidth="1" min="14" max="14"/>
    <col width="60" customWidth="1" min="15" max="15"/>
    <col width="8" customWidth="1" min="16" max="16"/>
  </cols>
  <sheetData>
    <row r="1" ht="30" customHeight="1">
      <c r="A1" s="3" t="inlineStr">
        <is>
          <t>Live crawl of all 33 sitemap URLs, 2 Sep 2026 (browser UA). Body words exclude header/footer/nav. Est. traffic sums the keyword rows on the KC Organic tabs for that URL (old flat URLs mapped to their new path).</t>
        </is>
      </c>
    </row>
    <row r="2">
      <c r="A2" s="4" t="inlineStr">
        <is>
          <t>URL</t>
        </is>
      </c>
      <c r="B2" s="4" t="inlineStr">
        <is>
          <t>Type</t>
        </is>
      </c>
      <c r="C2" s="4" t="inlineStr">
        <is>
          <t>Title</t>
        </is>
      </c>
      <c r="D2" s="4" t="inlineStr">
        <is>
          <t>Title len</t>
        </is>
      </c>
      <c r="E2" s="4" t="inlineStr">
        <is>
          <t>Meta description</t>
        </is>
      </c>
      <c r="F2" s="4" t="inlineStr">
        <is>
          <t>Desc len</t>
        </is>
      </c>
      <c r="G2" s="4" t="inlineStr">
        <is>
          <t>H1</t>
        </is>
      </c>
      <c r="H2" s="4" t="inlineStr">
        <is>
          <t>H2s</t>
        </is>
      </c>
      <c r="I2" s="4" t="inlineStr">
        <is>
          <t>Words (body)</t>
        </is>
      </c>
      <c r="J2" s="4" t="inlineStr">
        <is>
          <t>Schema types</t>
        </is>
      </c>
      <c r="K2" s="4" t="inlineStr">
        <is>
          <t>Body internal links</t>
        </is>
      </c>
      <c r="L2" s="4" t="inlineStr">
        <is>
          <t>Images without alt</t>
        </is>
      </c>
      <c r="M2" s="4" t="inlineStr">
        <is>
          <t>FAQ?</t>
        </is>
      </c>
      <c r="N2" s="4" t="inlineStr">
        <is>
          <t>Est. organic traffic (US+GB rows)</t>
        </is>
      </c>
      <c r="O2" s="4" t="inlineStr">
        <is>
          <t>Issues</t>
        </is>
      </c>
      <c r="P2" s="4" t="inlineStr">
        <is>
          <t>Priority</t>
        </is>
      </c>
    </row>
    <row r="3">
      <c r="A3" s="14" t="inlineStr">
        <is>
          <t>/locations/new-york-concierge-service</t>
        </is>
      </c>
      <c r="B3" s="14" t="inlineStr">
        <is>
          <t>Location</t>
        </is>
      </c>
      <c r="C3" s="14" t="inlineStr">
        <is>
          <t>Luxury Concierge Service New York — Knightsbridge Circle</t>
        </is>
      </c>
      <c r="D3" s="14" t="n">
        <v>56</v>
      </c>
      <c r="E3" s="14" t="inlineStr">
        <is>
          <t>A luxury concierge service in New York that coordinates travel planning, reservations, events and complex lifestyle management.</t>
        </is>
      </c>
      <c r="F3" s="14" t="n">
        <v>127</v>
      </c>
      <c r="G3" s="14" t="inlineStr">
        <is>
          <t>New York’s Most Exclusive Concierge Service</t>
        </is>
      </c>
      <c r="H3" s="14" t="inlineStr">
        <is>
          <t>New York Concierge Services for Executives Who Lead at Pace | Navigate New York. Every Detail Managed, Every Moment Protected | Knightsbridge Circle: Exclusive Access Through New York’s Most-Exclusive Lifestyle Management | “We understand that New York demands precision. We deliver it quietly.” | What members say | Get Everything You Want in New York</t>
        </is>
      </c>
      <c r="I3" s="14" t="n">
        <v>716</v>
      </c>
      <c r="J3" s="14" t="inlineStr"/>
      <c r="K3" s="14" t="n">
        <v>4</v>
      </c>
      <c r="L3" s="14" t="n">
        <v>6</v>
      </c>
      <c r="M3" s="14" t="inlineStr">
        <is>
          <t>no</t>
        </is>
      </c>
      <c r="N3" s="14" t="n">
        <v>435</v>
      </c>
      <c r="O3" s="14" t="inlineStr">
        <is>
          <t>no FAQ/Service/LocalBusiness schema; images missing alt; no FAQ section</t>
        </is>
      </c>
      <c r="P3" s="14" t="inlineStr">
        <is>
          <t>High</t>
        </is>
      </c>
    </row>
    <row r="4">
      <c r="A4" s="14" t="inlineStr">
        <is>
          <t>/access</t>
        </is>
      </c>
      <c r="B4" s="14" t="inlineStr">
        <is>
          <t>Hub</t>
        </is>
      </c>
      <c r="C4" s="14" t="inlineStr">
        <is>
          <t>Access - Knightsbridge Circle</t>
        </is>
      </c>
      <c r="D4" s="14" t="n">
        <v>29</v>
      </c>
      <c r="E4" s="14" t="inlineStr">
        <is>
          <t>Access Archive - Knightsbridge Circle</t>
        </is>
      </c>
      <c r="F4" s="14" t="n">
        <v>37</v>
      </c>
      <c r="G4" s="14" t="inlineStr">
        <is>
          <t>Access</t>
        </is>
      </c>
      <c r="H4" s="14" t="inlineStr">
        <is>
          <t>5 Hertford Street | The Corner Store | The Polo Bar | The Vineta Hotel | The Polo Room, Palm Beach | Oswald’s Mayfair | Celeste, Notting Hill | Maxime’s New York | Carbone London</t>
        </is>
      </c>
      <c r="I4" s="14" t="n">
        <v>268</v>
      </c>
      <c r="J4" s="14" t="inlineStr">
        <is>
          <t>CollectionPage, ImageObject, Organization, WebSite</t>
        </is>
      </c>
      <c r="K4" s="14" t="n">
        <v>10</v>
      </c>
      <c r="L4" s="14" t="n">
        <v>0</v>
      </c>
      <c r="M4" s="14" t="inlineStr">
        <is>
          <t>no</t>
        </is>
      </c>
      <c r="N4" s="14" t="n">
        <v>164</v>
      </c>
      <c r="O4" s="14" t="inlineStr">
        <is>
          <t>meta description too short/broken; no FAQ/Service/LocalBusiness schema</t>
        </is>
      </c>
      <c r="P4" s="14" t="inlineStr">
        <is>
          <t>High</t>
        </is>
      </c>
    </row>
    <row r="5">
      <c r="A5" s="14" t="inlineStr">
        <is>
          <t>/locations/los-angeles-concierge-service</t>
        </is>
      </c>
      <c r="B5" s="14" t="inlineStr">
        <is>
          <t>Location</t>
        </is>
      </c>
      <c r="C5" s="14" t="inlineStr">
        <is>
          <t>Luxury Concierge Service Los Angeles — Knightsbridge Circle</t>
        </is>
      </c>
      <c r="D5" s="14" t="n">
        <v>59</v>
      </c>
      <c r="E5" s="14" t="inlineStr">
        <is>
          <t>Knightsbridge Circle delivers luxury concierge services in LA with a dedicated lifestyle management team. Independent, exclusive and luxury.</t>
        </is>
      </c>
      <c r="F5" s="14" t="n">
        <v>140</v>
      </c>
      <c r="G5" s="14" t="inlineStr">
        <is>
          <t>The Most Exclusive Concierge Service In LA</t>
        </is>
      </c>
      <c r="H5" s="14" t="inlineStr">
        <is>
          <t>Private Concierge Services for LA’s Most Demanding Lives | Luxury Concierge Services in Los Angeles | Knightsbridge Circle: Elite Concierge Services Tailored for Los Angeles | “Trust, exclusivity, influence and insight are our pillars” | What members say | Elite Concierge Services for Los Angeles</t>
        </is>
      </c>
      <c r="I5" s="14" t="n">
        <v>539</v>
      </c>
      <c r="J5" s="14" t="inlineStr"/>
      <c r="K5" s="14" t="n">
        <v>3</v>
      </c>
      <c r="L5" s="14" t="n">
        <v>6</v>
      </c>
      <c r="M5" s="14" t="inlineStr">
        <is>
          <t>no</t>
        </is>
      </c>
      <c r="N5" s="14" t="n">
        <v>114</v>
      </c>
      <c r="O5" s="14" t="inlineStr">
        <is>
          <t>thin for a service page (&lt;700 words); no FAQ/Service/LocalBusiness schema; few in-body internal links; images missing alt; no FAQ section</t>
        </is>
      </c>
      <c r="P5" s="14" t="inlineStr">
        <is>
          <t>High</t>
        </is>
      </c>
    </row>
    <row r="6">
      <c r="A6" s="14" t="inlineStr">
        <is>
          <t>/</t>
        </is>
      </c>
      <c r="B6" s="14" t="inlineStr">
        <is>
          <t>Homepage</t>
        </is>
      </c>
      <c r="C6" s="14" t="inlineStr">
        <is>
          <t>Knightsbridge Circle – Beyond Concierge</t>
        </is>
      </c>
      <c r="D6" s="14" t="n">
        <v>39</v>
      </c>
      <c r="E6" s="14" t="inlineStr">
        <is>
          <t>Beyond concierge, Knightsbridge Circle is a luxury travel and lifestyle agent, elite concierge service, and dedicated extension of your personal office.</t>
        </is>
      </c>
      <c r="F6" s="14" t="n">
        <v>152</v>
      </c>
      <c r="G6" s="14" t="inlineStr">
        <is>
          <t>Knightsbridge Circle</t>
        </is>
      </c>
      <c r="H6" s="14" t="inlineStr">
        <is>
          <t>The most exclusive concierge club in the world | Knightsbridge Circle is exclusive for good reason | We specialise in making the impossible possible | Unparalleled experience, first-hand knowledge and strong relationships | Pre-emptive, imaginative and pro-active service | Apply for membership | About our founder</t>
        </is>
      </c>
      <c r="I6" s="14" t="n">
        <v>416</v>
      </c>
      <c r="J6" s="14" t="inlineStr">
        <is>
          <t>Article, ImageObject, Organization, Person, SearchAction, WebPage, WebSite</t>
        </is>
      </c>
      <c r="K6" s="14" t="n">
        <v>8</v>
      </c>
      <c r="L6" s="14" t="n">
        <v>7</v>
      </c>
      <c r="M6" s="14" t="inlineStr">
        <is>
          <t>no</t>
        </is>
      </c>
      <c r="N6" s="14" t="n">
        <v>90</v>
      </c>
      <c r="O6" s="14" t="inlineStr">
        <is>
          <t>thin for a service page (&lt;700 words); no FAQ/Service/LocalBusiness schema; images missing alt</t>
        </is>
      </c>
      <c r="P6" s="14" t="inlineStr">
        <is>
          <t>High</t>
        </is>
      </c>
    </row>
    <row r="7">
      <c r="A7" s="14" t="inlineStr">
        <is>
          <t>/locations/london-concierge-service</t>
        </is>
      </c>
      <c r="B7" s="14" t="inlineStr">
        <is>
          <t>Location</t>
        </is>
      </c>
      <c r="C7" s="14" t="inlineStr">
        <is>
          <t>The Most Exclusive Concierge Service in London - Knightsbridge Circle</t>
        </is>
      </c>
      <c r="D7" s="14" t="n">
        <v>69</v>
      </c>
      <c r="E7" s="14" t="inlineStr">
        <is>
          <t>Tel: +44 (0) 203 6275 769Find us on Google</t>
        </is>
      </c>
      <c r="F7" s="14" t="n">
        <v>42</v>
      </c>
      <c r="G7" s="14" t="inlineStr">
        <is>
          <t>The Most Exclusive Concierge Service in London</t>
        </is>
      </c>
      <c r="H7" s="14" t="inlineStr">
        <is>
          <t>Luxury Concierge Services for people who value time | Stay ahead in London. Secure, seamless, done. | The UK’s most exclusive lifestyle management service | “We remove friction from ambitious lives, without spectacle.” | What members say | Discover your London advantage | London Concierge Services: Contact</t>
        </is>
      </c>
      <c r="I7" s="14" t="n">
        <v>521</v>
      </c>
      <c r="J7" s="14" t="inlineStr"/>
      <c r="K7" s="14" t="n">
        <v>4</v>
      </c>
      <c r="L7" s="14" t="n">
        <v>6</v>
      </c>
      <c r="M7" s="14" t="inlineStr">
        <is>
          <t>no</t>
        </is>
      </c>
      <c r="N7" s="14" t="n">
        <v>80</v>
      </c>
      <c r="O7" s="14" t="inlineStr">
        <is>
          <t>title &gt;60 chars; meta description too short/broken; thin for a service page (&lt;700 words); no FAQ/Service/LocalBusiness schema; images missing alt; no FAQ section</t>
        </is>
      </c>
      <c r="P7" s="14" t="inlineStr">
        <is>
          <t>High</t>
        </is>
      </c>
    </row>
    <row r="8">
      <c r="A8" s="14" t="inlineStr">
        <is>
          <t>/locations</t>
        </is>
      </c>
      <c r="B8" s="14" t="inlineStr">
        <is>
          <t>Hub</t>
        </is>
      </c>
      <c r="C8" s="14" t="inlineStr">
        <is>
          <t>Locations - Knightsbridge Circle</t>
        </is>
      </c>
      <c r="D8" s="14" t="n">
        <v>32</v>
      </c>
      <c r="E8" s="14" t="inlineStr">
        <is>
          <t>Locations Archive - Knightsbridge Circle</t>
        </is>
      </c>
      <c r="F8" s="14" t="n">
        <v>40</v>
      </c>
      <c r="G8" s="14" t="inlineStr">
        <is>
          <t>Locations</t>
        </is>
      </c>
      <c r="H8" s="14" t="inlineStr">
        <is>
          <t>Boston | Singapore | Portugal | Dubai | Amsterdam | Palm Beach | New York | Dallas | Miami | Los Angeles</t>
        </is>
      </c>
      <c r="I8" s="14" t="n">
        <v>71</v>
      </c>
      <c r="J8" s="14" t="inlineStr">
        <is>
          <t>CollectionPage, ImageObject, Organization, WebSite</t>
        </is>
      </c>
      <c r="K8" s="14" t="n">
        <v>12</v>
      </c>
      <c r="L8" s="14" t="n">
        <v>0</v>
      </c>
      <c r="M8" s="14" t="inlineStr">
        <is>
          <t>no</t>
        </is>
      </c>
      <c r="N8" s="14" t="n">
        <v>40</v>
      </c>
      <c r="O8" s="14" t="inlineStr">
        <is>
          <t>meta description too short/broken; no FAQ/Service/LocalBusiness schema</t>
        </is>
      </c>
      <c r="P8" s="14" t="inlineStr">
        <is>
          <t>High</t>
        </is>
      </c>
    </row>
    <row r="9">
      <c r="A9" s="14" t="inlineStr">
        <is>
          <t>/locations/luxury-concierge-dallas</t>
        </is>
      </c>
      <c r="B9" s="14" t="inlineStr">
        <is>
          <t>Location</t>
        </is>
      </c>
      <c r="C9" s="14" t="inlineStr">
        <is>
          <t>Luxury Concierge Service Dallas — Knightsbridge Circle</t>
        </is>
      </c>
      <c r="D9" s="14" t="n">
        <v>54</v>
      </c>
      <c r="E9" s="14" t="inlineStr">
        <is>
          <t>Luxury concierge and lifestyle management in Dallas. Contact us today to find out more about our exclusive service in Dallas.</t>
        </is>
      </c>
      <c r="F9" s="14" t="n">
        <v>125</v>
      </c>
      <c r="G9" s="14" t="inlineStr">
        <is>
          <t>The Most Exclusive Concierge Service In Dallas</t>
        </is>
      </c>
      <c r="H9" s="14" t="inlineStr">
        <is>
          <t>Luxury Concierge Services for Texans Who Live at Scale | Handle Texas Without Managing the Details | Knightsbridge Circle: The Most Exclusive Luxury Concierge in Dallas, TX | “Dallas members need execution, not explanations.” | What members say | Focus on Living, Not Coordinating</t>
        </is>
      </c>
      <c r="I9" s="14" t="n">
        <v>585</v>
      </c>
      <c r="J9" s="14" t="inlineStr"/>
      <c r="K9" s="14" t="n">
        <v>4</v>
      </c>
      <c r="L9" s="14" t="n">
        <v>6</v>
      </c>
      <c r="M9" s="14" t="inlineStr">
        <is>
          <t>no</t>
        </is>
      </c>
      <c r="N9" s="14" t="n">
        <v>15</v>
      </c>
      <c r="O9" s="14" t="inlineStr">
        <is>
          <t>thin for a service page (&lt;700 words); no FAQ/Service/LocalBusiness schema; images missing alt; no FAQ section</t>
        </is>
      </c>
      <c r="P9" s="14" t="inlineStr">
        <is>
          <t>High</t>
        </is>
      </c>
    </row>
    <row r="10">
      <c r="A10" s="14" t="inlineStr">
        <is>
          <t>/locations/miami-luxury-concierge</t>
        </is>
      </c>
      <c r="B10" s="14" t="inlineStr">
        <is>
          <t>Location</t>
        </is>
      </c>
      <c r="C10" s="14" t="inlineStr">
        <is>
          <t>Luxury Concierge Service Miami — Knightsbridge Circle</t>
        </is>
      </c>
      <c r="D10" s="14" t="n">
        <v>53</v>
      </c>
      <c r="E10" s="14" t="inlineStr">
        <is>
          <t>A luxury concierge service in Miami, offering exclusive lifestyle management, private yacht charters, aviation and residential arrangements.</t>
        </is>
      </c>
      <c r="F10" s="14" t="n">
        <v>140</v>
      </c>
      <c r="G10" s="14" t="inlineStr">
        <is>
          <t>The Most Exclusive Concierge Service In Miami</t>
        </is>
      </c>
      <c r="H10" s="14" t="inlineStr">
        <is>
          <t>Luxury Concierge Services for Leaders in the Magic City | Command Miami. Seamless Travel, Absolute Discretion. | Knightsbridge Circle: The Most-Exclusive Luxury Concierge in Miami | “We understand Miami. We deliver without drama.” | What members say | Elevate Your Miami Life</t>
        </is>
      </c>
      <c r="I10" s="14" t="n">
        <v>683</v>
      </c>
      <c r="J10" s="14" t="inlineStr"/>
      <c r="K10" s="14" t="n">
        <v>4</v>
      </c>
      <c r="L10" s="14" t="n">
        <v>6</v>
      </c>
      <c r="M10" s="14" t="inlineStr">
        <is>
          <t>no</t>
        </is>
      </c>
      <c r="N10" s="14" t="n">
        <v>14</v>
      </c>
      <c r="O10" s="14" t="inlineStr">
        <is>
          <t>thin for a service page (&lt;700 words); no FAQ/Service/LocalBusiness schema; images missing alt; no FAQ section</t>
        </is>
      </c>
      <c r="P10" s="14" t="inlineStr">
        <is>
          <t>High</t>
        </is>
      </c>
    </row>
    <row r="11">
      <c r="A11" s="14" t="inlineStr">
        <is>
          <t>/locations/amsterdam-concierge-service</t>
        </is>
      </c>
      <c r="B11" s="14" t="inlineStr">
        <is>
          <t>Location</t>
        </is>
      </c>
      <c r="C11" s="14" t="inlineStr">
        <is>
          <t>Luxury Concierge Service in Amsterdam – Knightsbridge Circle</t>
        </is>
      </c>
      <c r="D11" s="14" t="n">
        <v>60</v>
      </c>
      <c r="E11" s="14" t="inlineStr">
        <is>
          <t>A private concierge service that makes life in Amsterdam run effortlessly. From luxury travel to impossible-to-get reservations, we can help.</t>
        </is>
      </c>
      <c r="F11" s="14" t="n">
        <v>141</v>
      </c>
      <c r="G11" s="14" t="inlineStr">
        <is>
          <t>Amsterdam’s Most Exclusive Concierge Service</t>
        </is>
      </c>
      <c r="H11" s="14" t="inlineStr">
        <is>
          <t xml:space="preserve"> | The Most Exclusive Concierge Service in The Netherlands | Knightsbridge Circle: The Most Exclusive Lifestyle Management in The Netherlands | “We understand precision at elite levels.” | What members say | Discover Your Amsterdam Advantage</t>
        </is>
      </c>
      <c r="I11" s="14" t="n">
        <v>613</v>
      </c>
      <c r="J11" s="14" t="inlineStr"/>
      <c r="K11" s="14" t="n">
        <v>2</v>
      </c>
      <c r="L11" s="14" t="n">
        <v>6</v>
      </c>
      <c r="M11" s="14" t="inlineStr">
        <is>
          <t>no</t>
        </is>
      </c>
      <c r="N11" s="14" t="n">
        <v>0</v>
      </c>
      <c r="O11" s="14" t="inlineStr">
        <is>
          <t>thin for a service page (&lt;700 words); no FAQ/Service/LocalBusiness schema; few in-body internal links; images missing alt; no FAQ section</t>
        </is>
      </c>
      <c r="P11" s="14" t="inlineStr">
        <is>
          <t>High</t>
        </is>
      </c>
    </row>
    <row r="12">
      <c r="A12" s="14" t="inlineStr">
        <is>
          <t>/locations/boston-concierge-service</t>
        </is>
      </c>
      <c r="B12" s="14" t="inlineStr">
        <is>
          <t>Location</t>
        </is>
      </c>
      <c r="C12" s="14" t="inlineStr">
        <is>
          <t>Exclusive Concierge Service in Boston | Knightsbridge Circle</t>
        </is>
      </c>
      <c r="D12" s="14" t="n">
        <v>60</v>
      </c>
      <c r="E12" s="14" t="inlineStr">
        <is>
          <t>Knightsbridge Circle is a personal concierge service operating in Boston that quietly handles travel, complex logistics and lifestyle management.</t>
        </is>
      </c>
      <c r="F12" s="14" t="n">
        <v>145</v>
      </c>
      <c r="G12" s="14" t="inlineStr">
        <is>
          <t>Boston’s Most Exclusive Concierge Service</t>
        </is>
      </c>
      <c r="H12" s="14" t="inlineStr">
        <is>
          <t>Luxury Concierge Services for People Who Value Time | Luxury Concierge Services in Boston | Knightsbridge Circle: The World’s Most Exclusive Concierge Service | “We remove friction from ambitious lives, without spectacle.” | What members say | Discover Your Greater Boston Advantage</t>
        </is>
      </c>
      <c r="I12" s="14" t="n">
        <v>602</v>
      </c>
      <c r="J12" s="14" t="inlineStr"/>
      <c r="K12" s="14" t="n">
        <v>4</v>
      </c>
      <c r="L12" s="14" t="n">
        <v>6</v>
      </c>
      <c r="M12" s="14" t="inlineStr">
        <is>
          <t>no</t>
        </is>
      </c>
      <c r="N12" s="14" t="n">
        <v>0</v>
      </c>
      <c r="O12" s="14" t="inlineStr">
        <is>
          <t>thin for a service page (&lt;700 words); no FAQ/Service/LocalBusiness schema; images missing alt; no FAQ section</t>
        </is>
      </c>
      <c r="P12" s="14" t="inlineStr">
        <is>
          <t>High</t>
        </is>
      </c>
    </row>
    <row r="13">
      <c r="A13" s="14" t="inlineStr">
        <is>
          <t>/locations/dubai-concierge-service</t>
        </is>
      </c>
      <c r="B13" s="14" t="inlineStr">
        <is>
          <t>Location</t>
        </is>
      </c>
      <c r="C13" s="14" t="inlineStr">
        <is>
          <t>Dubai's Most Exclusive Concierge Service</t>
        </is>
      </c>
      <c r="D13" s="14" t="n">
        <v>40</v>
      </c>
      <c r="E13" s="14" t="inlineStr">
        <is>
          <t>Knightsbridge Circle is an exclusive concierge service that manages every aspect of luxury life across Dubai and the UAE.</t>
        </is>
      </c>
      <c r="F13" s="14" t="n">
        <v>121</v>
      </c>
      <c r="G13" s="14" t="inlineStr">
        <is>
          <t>Dubai’s Most Exclusive Concierge Service</t>
        </is>
      </c>
      <c r="H13" s="14" t="inlineStr">
        <is>
          <t>Private Concierge Services for Life at Dubai’s Pace | Elite Concierge Outcomes. Secure, Seamless, Done. | Knightsbridge Circle: The Most Exclusive Concierge Service in the UAE | “We understand precision at elite levels” | What members say | Unlock Your Dubai Advantage</t>
        </is>
      </c>
      <c r="I13" s="14" t="n">
        <v>732</v>
      </c>
      <c r="J13" s="14" t="inlineStr"/>
      <c r="K13" s="14" t="n">
        <v>2</v>
      </c>
      <c r="L13" s="14" t="n">
        <v>6</v>
      </c>
      <c r="M13" s="14" t="inlineStr">
        <is>
          <t>no</t>
        </is>
      </c>
      <c r="N13" s="14" t="n">
        <v>0</v>
      </c>
      <c r="O13" s="14" t="inlineStr">
        <is>
          <t>no FAQ/Service/LocalBusiness schema; few in-body internal links; images missing alt; no FAQ section</t>
        </is>
      </c>
      <c r="P13" s="14" t="inlineStr">
        <is>
          <t>High</t>
        </is>
      </c>
    </row>
    <row r="14">
      <c r="A14" s="14" t="inlineStr">
        <is>
          <t>/locations/lisbon-concierge-service</t>
        </is>
      </c>
      <c r="B14" s="14" t="inlineStr">
        <is>
          <t>Location</t>
        </is>
      </c>
      <c r="C14" s="14" t="inlineStr">
        <is>
          <t>Luxury Concierge Service Lisbon | Knightsbridge Circle</t>
        </is>
      </c>
      <c r="D14" s="14" t="n">
        <v>54</v>
      </c>
      <c r="E14" s="14" t="inlineStr">
        <is>
          <t>Luxury concierge service that manages travel, property, access and complex lifestyle logistics across Lisbon and Portugal. Apply for membership.</t>
        </is>
      </c>
      <c r="F14" s="14" t="n">
        <v>144</v>
      </c>
      <c r="G14" s="14" t="inlineStr">
        <is>
          <t>Lisbon’s Most Exclusive Concierge Service</t>
        </is>
      </c>
      <c r="H14" s="14" t="inlineStr">
        <is>
          <t>Luxury Concierge Services Lisbon | Lisbon’s Elite Concierge: Secure, Seamless, Done. | Knightsbridge Circle: Exclusive access and luxury Lifestyle Management in Lisbon | “We remove friction from ambitious lives, without spectacle.” | What members say | Discover Your Lisbon Advantage</t>
        </is>
      </c>
      <c r="I14" s="14" t="n">
        <v>683</v>
      </c>
      <c r="J14" s="14" t="inlineStr"/>
      <c r="K14" s="14" t="n">
        <v>2</v>
      </c>
      <c r="L14" s="14" t="n">
        <v>6</v>
      </c>
      <c r="M14" s="14" t="inlineStr">
        <is>
          <t>no</t>
        </is>
      </c>
      <c r="N14" s="14" t="n">
        <v>0</v>
      </c>
      <c r="O14" s="14" t="inlineStr">
        <is>
          <t>thin for a service page (&lt;700 words); no FAQ/Service/LocalBusiness schema; few in-body internal links; images missing alt; no FAQ section</t>
        </is>
      </c>
      <c r="P14" s="14" t="inlineStr">
        <is>
          <t>High</t>
        </is>
      </c>
    </row>
    <row r="15">
      <c r="A15" s="14" t="inlineStr">
        <is>
          <t>/locations/luxury-concierge-palm-beach</t>
        </is>
      </c>
      <c r="B15" s="14" t="inlineStr">
        <is>
          <t>Location</t>
        </is>
      </c>
      <c r="C15" s="14" t="inlineStr">
        <is>
          <t>Luxury Concierge Service Palm Beach — Knightsbridge Circle</t>
        </is>
      </c>
      <c r="D15" s="14" t="n">
        <v>58</v>
      </c>
      <c r="E15" s="14" t="inlineStr">
        <is>
          <t>A luxury Palm Beach concierge service that discreetly manages travel, access and lifestyle logistics for exclusive members across Palm Beach.</t>
        </is>
      </c>
      <c r="F15" s="14" t="n">
        <v>141</v>
      </c>
      <c r="G15" s="14" t="inlineStr">
        <is>
          <t>Palm Beach Luxury Concierge Service</t>
        </is>
      </c>
      <c r="H15" s="14" t="inlineStr">
        <is>
          <t>Exclusive Concierge Services For South Florida’s Elite | Stay Ahead in Palm Beach County. Protected, Prepared, Delivered | Palm Beach’s Most Exclusive Concierge Services | “We understand that time is wealth in South Florida.” | What members say | Discover Your Palm Beach Advantage</t>
        </is>
      </c>
      <c r="I15" s="14" t="n">
        <v>602</v>
      </c>
      <c r="J15" s="14" t="inlineStr"/>
      <c r="K15" s="14" t="n">
        <v>4</v>
      </c>
      <c r="L15" s="14" t="n">
        <v>6</v>
      </c>
      <c r="M15" s="14" t="inlineStr">
        <is>
          <t>no</t>
        </is>
      </c>
      <c r="N15" s="14" t="n">
        <v>0</v>
      </c>
      <c r="O15" s="14" t="inlineStr">
        <is>
          <t>thin for a service page (&lt;700 words); no FAQ/Service/LocalBusiness schema; images missing alt; no FAQ section</t>
        </is>
      </c>
      <c r="P15" s="14" t="inlineStr">
        <is>
          <t>High</t>
        </is>
      </c>
    </row>
    <row r="16">
      <c r="A16" s="14" t="inlineStr">
        <is>
          <t>/locations/singapore-concierge-service</t>
        </is>
      </c>
      <c r="B16" s="14" t="inlineStr">
        <is>
          <t>Location</t>
        </is>
      </c>
      <c r="C16" s="14" t="inlineStr">
        <is>
          <t>Luxury Concierge Service Singapore | Knightsbridge Circle</t>
        </is>
      </c>
      <c r="D16" s="14" t="n">
        <v>57</v>
      </c>
      <c r="E16" s="14" t="inlineStr">
        <is>
          <t>Knightsbridge Circle is an exclusive, luxury concierge service operating in Singapore. Apply for membership and let us exceed your expectations.</t>
        </is>
      </c>
      <c r="F16" s="14" t="n">
        <v>144</v>
      </c>
      <c r="G16" s="14" t="inlineStr">
        <is>
          <t>Singapore’s Most Exclusive Concierge Service</t>
        </is>
      </c>
      <c r="H16" s="14" t="inlineStr">
        <is>
          <t>Lifestyle Management for Singapore | Luxury Concierge Services Singapore | Knightsbridge Circle: Singapore’s Most Exclusive Lifestyle Management | “We remove complex logistics for a smooth transition into Singapore” | What members say | Discover Your Singapore Advantage</t>
        </is>
      </c>
      <c r="I16" s="14" t="n">
        <v>591</v>
      </c>
      <c r="J16" s="14" t="inlineStr"/>
      <c r="K16" s="14" t="n">
        <v>2</v>
      </c>
      <c r="L16" s="14" t="n">
        <v>6</v>
      </c>
      <c r="M16" s="14" t="inlineStr">
        <is>
          <t>no</t>
        </is>
      </c>
      <c r="N16" s="14" t="n">
        <v>0</v>
      </c>
      <c r="O16" s="14" t="inlineStr">
        <is>
          <t>thin for a service page (&lt;700 words); no FAQ/Service/LocalBusiness schema; few in-body internal links; images missing alt; no FAQ section</t>
        </is>
      </c>
      <c r="P16" s="14" t="inlineStr">
        <is>
          <t>High</t>
        </is>
      </c>
    </row>
    <row r="17">
      <c r="A17" s="14" t="inlineStr">
        <is>
          <t>/luxury-travel-concierge</t>
        </is>
      </c>
      <c r="B17" s="14" t="inlineStr">
        <is>
          <t>Page</t>
        </is>
      </c>
      <c r="C17" s="14" t="inlineStr">
        <is>
          <t>The Most Exclusive Luxury Travel Concierge - Knightsbridge Circle</t>
        </is>
      </c>
      <c r="D17" s="14" t="n">
        <v>65</v>
      </c>
      <c r="E17" s="14" t="inlineStr"/>
      <c r="F17" s="14" t="n">
        <v>0</v>
      </c>
      <c r="G17" s="14" t="inlineStr">
        <is>
          <t>The Most Exclusive Luxury Travel Concierge</t>
        </is>
      </c>
      <c r="H17" s="14" t="inlineStr">
        <is>
          <t>Private Travel Concierge Services for Lives that Never Stop Moving | Operate Globally Without Managing the Details | Knightsbridge Circle: Exclusive Access in Every Destination | “Travel should enhance your life, not interrupt it.” | What members say | Move With Confidence, Not Complications</t>
        </is>
      </c>
      <c r="I17" s="14" t="n">
        <v>574</v>
      </c>
      <c r="J17" s="14" t="inlineStr">
        <is>
          <t>Article, ImageObject, Organization, Person, WebPage, WebSite</t>
        </is>
      </c>
      <c r="K17" s="14" t="n">
        <v>2</v>
      </c>
      <c r="L17" s="14" t="n">
        <v>6</v>
      </c>
      <c r="M17" s="14" t="inlineStr">
        <is>
          <t>no</t>
        </is>
      </c>
      <c r="N17" s="14" t="n">
        <v>0</v>
      </c>
      <c r="O17" s="14" t="inlineStr">
        <is>
          <t>title &gt;60 chars; no meta description; thin for a service page (&lt;700 words); no FAQ/Service/LocalBusiness schema; few in-body internal links; images missing alt; no FAQ section; no rankings beyond brand; SC #1 US on the same term</t>
        </is>
      </c>
      <c r="P17" s="14" t="inlineStr">
        <is>
          <t>High</t>
        </is>
      </c>
    </row>
    <row r="18">
      <c r="A18" s="5" t="inlineStr">
        <is>
          <t>/access/maximes-new-york</t>
        </is>
      </c>
      <c r="B18" s="5" t="inlineStr">
        <is>
          <t>Access venue</t>
        </is>
      </c>
      <c r="C18" s="5" t="inlineStr">
        <is>
          <t>Maxime's New York</t>
        </is>
      </c>
      <c r="D18" s="5" t="n">
        <v>17</v>
      </c>
      <c r="E18" s="5" t="inlineStr">
        <is>
          <t>Maxime’s is a new private members’ club on Madison Avenue, on the Upper East Side.</t>
        </is>
      </c>
      <c r="F18" s="5" t="n">
        <v>82</v>
      </c>
      <c r="G18" s="5" t="inlineStr">
        <is>
          <t>Maxime’s New York</t>
        </is>
      </c>
      <c r="H18" s="5" t="inlineStr">
        <is>
          <t>What to expect</t>
        </is>
      </c>
      <c r="I18" s="5" t="n">
        <v>284</v>
      </c>
      <c r="J18" s="5" t="inlineStr"/>
      <c r="K18" s="5" t="n">
        <v>1</v>
      </c>
      <c r="L18" s="5" t="n">
        <v>1</v>
      </c>
      <c r="M18" s="5" t="inlineStr">
        <is>
          <t>no</t>
        </is>
      </c>
      <c r="N18" s="5" t="n">
        <v>316</v>
      </c>
      <c r="O18" s="5" t="inlineStr">
        <is>
          <t>no FAQ/Service/LocalBusiness schema; few in-body internal links</t>
        </is>
      </c>
      <c r="P18" s="5" t="inlineStr">
        <is>
          <t>Medium</t>
        </is>
      </c>
    </row>
    <row r="19">
      <c r="A19" s="5" t="inlineStr">
        <is>
          <t>/access/5-hertford-street</t>
        </is>
      </c>
      <c r="B19" s="5" t="inlineStr">
        <is>
          <t>Access venue</t>
        </is>
      </c>
      <c r="C19" s="5" t="inlineStr">
        <is>
          <t>5 Hertford Street, Mayfair</t>
        </is>
      </c>
      <c r="D19" s="5" t="n">
        <v>26</v>
      </c>
      <c r="E19" s="5" t="inlineStr">
        <is>
          <t>We can help book a visit to 5 Hertford Street, Mayfair, including travel and hotel bookings.</t>
        </is>
      </c>
      <c r="F19" s="5" t="n">
        <v>92</v>
      </c>
      <c r="G19" s="5" t="inlineStr">
        <is>
          <t>5 Hertford Street</t>
        </is>
      </c>
      <c r="H19" s="5" t="inlineStr">
        <is>
          <t>What to expect</t>
        </is>
      </c>
      <c r="I19" s="5" t="n">
        <v>304</v>
      </c>
      <c r="J19" s="5" t="inlineStr"/>
      <c r="K19" s="5" t="n">
        <v>1</v>
      </c>
      <c r="L19" s="5" t="n">
        <v>1</v>
      </c>
      <c r="M19" s="5" t="inlineStr">
        <is>
          <t>no</t>
        </is>
      </c>
      <c r="N19" s="5" t="n">
        <v>113</v>
      </c>
      <c r="O19" s="5" t="inlineStr">
        <is>
          <t>no FAQ/Service/LocalBusiness schema; few in-body internal links</t>
        </is>
      </c>
      <c r="P19" s="5" t="inlineStr">
        <is>
          <t>Medium</t>
        </is>
      </c>
    </row>
    <row r="20">
      <c r="A20" s="5" t="inlineStr">
        <is>
          <t>/access/oswalds-mayfair</t>
        </is>
      </c>
      <c r="B20" s="5" t="inlineStr">
        <is>
          <t>Access venue</t>
        </is>
      </c>
      <c r="C20" s="5" t="inlineStr">
        <is>
          <t>Oswald's Mayfair - Access, Opening Times, Dress Code</t>
        </is>
      </c>
      <c r="D20" s="5" t="n">
        <v>52</v>
      </c>
      <c r="E20" s="5" t="inlineStr">
        <is>
          <t>As part of our services, we can help arrange a visit to Oswald&amp;#039;s, including travel arrangements and exclusive hotel bookings.</t>
        </is>
      </c>
      <c r="F20" s="5" t="n">
        <v>130</v>
      </c>
      <c r="G20" s="5" t="inlineStr">
        <is>
          <t>Oswald’s Mayfair</t>
        </is>
      </c>
      <c r="H20" s="5" t="inlineStr">
        <is>
          <t>What to expect</t>
        </is>
      </c>
      <c r="I20" s="5" t="n">
        <v>299</v>
      </c>
      <c r="J20" s="5" t="inlineStr"/>
      <c r="K20" s="5" t="n">
        <v>1</v>
      </c>
      <c r="L20" s="5" t="n">
        <v>1</v>
      </c>
      <c r="M20" s="5" t="inlineStr">
        <is>
          <t>no</t>
        </is>
      </c>
      <c r="N20" s="5" t="n">
        <v>113</v>
      </c>
      <c r="O20" s="5" t="inlineStr">
        <is>
          <t>no FAQ/Service/LocalBusiness schema; few in-body internal links</t>
        </is>
      </c>
      <c r="P20" s="5" t="inlineStr">
        <is>
          <t>Medium</t>
        </is>
      </c>
    </row>
    <row r="21">
      <c r="A21" s="5" t="inlineStr">
        <is>
          <t>/access/carbone-london</t>
        </is>
      </c>
      <c r="B21" s="5" t="inlineStr">
        <is>
          <t>Access venue</t>
        </is>
      </c>
      <c r="C21" s="5" t="inlineStr">
        <is>
          <t>Carbone London - Access, Opening Hours &amp; Dress Code</t>
        </is>
      </c>
      <c r="D21" s="5" t="n">
        <v>51</v>
      </c>
      <c r="E21" s="5" t="inlineStr">
        <is>
          <t>As part of our services, we can help arrange your visit to Carbone, London. Including luxury travel and hotels, we&amp;#039;re happy to help</t>
        </is>
      </c>
      <c r="F21" s="5" t="n">
        <v>136</v>
      </c>
      <c r="G21" s="5" t="inlineStr">
        <is>
          <t>Carbone London</t>
        </is>
      </c>
      <c r="H21" s="5" t="inlineStr">
        <is>
          <t>What to expect</t>
        </is>
      </c>
      <c r="I21" s="5" t="n">
        <v>279</v>
      </c>
      <c r="J21" s="5" t="inlineStr"/>
      <c r="K21" s="5" t="n">
        <v>1</v>
      </c>
      <c r="L21" s="5" t="n">
        <v>1</v>
      </c>
      <c r="M21" s="5" t="inlineStr">
        <is>
          <t>no</t>
        </is>
      </c>
      <c r="N21" s="5" t="n">
        <v>45</v>
      </c>
      <c r="O21" s="5" t="inlineStr">
        <is>
          <t>no FAQ/Service/LocalBusiness schema; few in-body internal links</t>
        </is>
      </c>
      <c r="P21" s="5" t="inlineStr">
        <is>
          <t>Medium</t>
        </is>
      </c>
    </row>
    <row r="22">
      <c r="A22" s="5" t="inlineStr">
        <is>
          <t>/access/the-polo-room-palm-beach</t>
        </is>
      </c>
      <c r="B22" s="5" t="inlineStr">
        <is>
          <t>Access venue</t>
        </is>
      </c>
      <c r="C22" s="5" t="inlineStr">
        <is>
          <t>The Polo Room, Palm Beach - Access, Menu &amp; Dress Code</t>
        </is>
      </c>
      <c r="D22" s="5" t="n">
        <v>53</v>
      </c>
      <c r="E22" s="5" t="inlineStr">
        <is>
          <t>As part of our services, we can help you arrange a visit to The Polo Room, including travel arrangements and hotels.</t>
        </is>
      </c>
      <c r="F22" s="5" t="n">
        <v>116</v>
      </c>
      <c r="G22" s="5" t="inlineStr">
        <is>
          <t>The Polo Room, Palm Beach</t>
        </is>
      </c>
      <c r="H22" s="5" t="inlineStr">
        <is>
          <t>What to expect</t>
        </is>
      </c>
      <c r="I22" s="5" t="n">
        <v>202</v>
      </c>
      <c r="J22" s="5" t="inlineStr"/>
      <c r="K22" s="5" t="n">
        <v>1</v>
      </c>
      <c r="L22" s="5" t="n">
        <v>1</v>
      </c>
      <c r="M22" s="5" t="inlineStr">
        <is>
          <t>no</t>
        </is>
      </c>
      <c r="N22" s="5" t="n">
        <v>7</v>
      </c>
      <c r="O22" s="5" t="inlineStr">
        <is>
          <t>no FAQ/Service/LocalBusiness schema; few in-body internal links</t>
        </is>
      </c>
      <c r="P22" s="5" t="inlineStr">
        <is>
          <t>Medium</t>
        </is>
      </c>
    </row>
    <row r="23">
      <c r="A23" s="5" t="inlineStr">
        <is>
          <t>/access/celeste-notting-hill</t>
        </is>
      </c>
      <c r="B23" s="5" t="inlineStr">
        <is>
          <t>Access venue</t>
        </is>
      </c>
      <c r="C23" s="5" t="inlineStr">
        <is>
          <t>Celeste, Notting Hill - Access, opening times and dress code</t>
        </is>
      </c>
      <c r="D23" s="5" t="n">
        <v>60</v>
      </c>
      <c r="E23" s="5" t="inlineStr">
        <is>
          <t>With our membership, we can help to arrange a visit to Celeste. From travel arrangements to hotels, we&amp;#039;re happy to help.</t>
        </is>
      </c>
      <c r="F23" s="5" t="n">
        <v>125</v>
      </c>
      <c r="G23" s="5" t="inlineStr">
        <is>
          <t>Celeste, Notting Hill</t>
        </is>
      </c>
      <c r="H23" s="5" t="inlineStr">
        <is>
          <t>What to expect</t>
        </is>
      </c>
      <c r="I23" s="5" t="n">
        <v>319</v>
      </c>
      <c r="J23" s="5" t="inlineStr"/>
      <c r="K23" s="5" t="n">
        <v>1</v>
      </c>
      <c r="L23" s="5" t="n">
        <v>1</v>
      </c>
      <c r="M23" s="5" t="inlineStr">
        <is>
          <t>no</t>
        </is>
      </c>
      <c r="N23" s="5" t="n">
        <v>1</v>
      </c>
      <c r="O23" s="5" t="inlineStr">
        <is>
          <t>no FAQ/Service/LocalBusiness schema; few in-body internal links</t>
        </is>
      </c>
      <c r="P23" s="5" t="inlineStr">
        <is>
          <t>Medium</t>
        </is>
      </c>
    </row>
    <row r="24">
      <c r="A24" s="5" t="inlineStr">
        <is>
          <t>/access/the-corner-store</t>
        </is>
      </c>
      <c r="B24" s="5" t="inlineStr">
        <is>
          <t>Access venue</t>
        </is>
      </c>
      <c r="C24" s="5" t="inlineStr">
        <is>
          <t>The Corner Store, New York</t>
        </is>
      </c>
      <c r="D24" s="5" t="n">
        <v>26</v>
      </c>
      <c r="E24" s="5" t="inlineStr">
        <is>
          <t>With our membership we can help arrange a visit to The Corner Store, including travel and hotel bookings.</t>
        </is>
      </c>
      <c r="F24" s="5" t="n">
        <v>105</v>
      </c>
      <c r="G24" s="5" t="inlineStr">
        <is>
          <t>The Corner Store</t>
        </is>
      </c>
      <c r="H24" s="5" t="inlineStr">
        <is>
          <t>What to expect</t>
        </is>
      </c>
      <c r="I24" s="5" t="n">
        <v>304</v>
      </c>
      <c r="J24" s="5" t="inlineStr"/>
      <c r="K24" s="5" t="n">
        <v>1</v>
      </c>
      <c r="L24" s="5" t="n">
        <v>1</v>
      </c>
      <c r="M24" s="5" t="inlineStr">
        <is>
          <t>no</t>
        </is>
      </c>
      <c r="N24" s="5" t="n">
        <v>0</v>
      </c>
      <c r="O24" s="5" t="inlineStr">
        <is>
          <t>no FAQ/Service/LocalBusiness schema; few in-body internal links</t>
        </is>
      </c>
      <c r="P24" s="5" t="inlineStr">
        <is>
          <t>Medium</t>
        </is>
      </c>
    </row>
    <row r="25">
      <c r="A25" s="5" t="inlineStr">
        <is>
          <t>/access/the-polo-bar</t>
        </is>
      </c>
      <c r="B25" s="5" t="inlineStr">
        <is>
          <t>Access venue</t>
        </is>
      </c>
      <c r="C25" s="5" t="inlineStr">
        <is>
          <t>The Polo Bar, New York - Access &amp; Dress Code</t>
        </is>
      </c>
      <c r="D25" s="5" t="n">
        <v>44</v>
      </c>
      <c r="E25" s="5" t="inlineStr">
        <is>
          <t>As part of our service we can arrange a visit to The Polo Bar, including travel arrangements and hotel bookings.</t>
        </is>
      </c>
      <c r="F25" s="5" t="n">
        <v>112</v>
      </c>
      <c r="G25" s="5" t="inlineStr">
        <is>
          <t>The Polo Bar</t>
        </is>
      </c>
      <c r="H25" s="5" t="inlineStr">
        <is>
          <t>What to Expect</t>
        </is>
      </c>
      <c r="I25" s="5" t="n">
        <v>317</v>
      </c>
      <c r="J25" s="5" t="inlineStr"/>
      <c r="K25" s="5" t="n">
        <v>1</v>
      </c>
      <c r="L25" s="5" t="n">
        <v>1</v>
      </c>
      <c r="M25" s="5" t="inlineStr">
        <is>
          <t>no</t>
        </is>
      </c>
      <c r="N25" s="5" t="n">
        <v>0</v>
      </c>
      <c r="O25" s="5" t="inlineStr">
        <is>
          <t>no FAQ/Service/LocalBusiness schema; few in-body internal links</t>
        </is>
      </c>
      <c r="P25" s="5" t="inlineStr">
        <is>
          <t>Medium</t>
        </is>
      </c>
    </row>
    <row r="26">
      <c r="A26" s="5" t="inlineStr">
        <is>
          <t>/access/the-vineta-hotel</t>
        </is>
      </c>
      <c r="B26" s="5" t="inlineStr">
        <is>
          <t>Access venue</t>
        </is>
      </c>
      <c r="C26" s="5" t="inlineStr">
        <is>
          <t>The Vineta Hotel - Access, Opening Times &amp; Dress Code</t>
        </is>
      </c>
      <c r="D26" s="5" t="n">
        <v>53</v>
      </c>
      <c r="E26" s="5" t="inlineStr">
        <is>
          <t>As part of our services we can arrange a visit to The Vineta Hotel, including travel arrangements and bookings.</t>
        </is>
      </c>
      <c r="F26" s="5" t="n">
        <v>111</v>
      </c>
      <c r="G26" s="5" t="inlineStr">
        <is>
          <t>The Vineta Hotel</t>
        </is>
      </c>
      <c r="H26" s="5" t="inlineStr">
        <is>
          <t>What to expect</t>
        </is>
      </c>
      <c r="I26" s="5" t="n">
        <v>217</v>
      </c>
      <c r="J26" s="5" t="inlineStr"/>
      <c r="K26" s="5" t="n">
        <v>1</v>
      </c>
      <c r="L26" s="5" t="n">
        <v>1</v>
      </c>
      <c r="M26" s="5" t="inlineStr">
        <is>
          <t>no</t>
        </is>
      </c>
      <c r="N26" s="5" t="n">
        <v>0</v>
      </c>
      <c r="O26" s="5" t="inlineStr">
        <is>
          <t>no FAQ/Service/LocalBusiness schema; few in-body internal links</t>
        </is>
      </c>
      <c r="P26" s="5" t="inlineStr">
        <is>
          <t>Medium</t>
        </is>
      </c>
    </row>
    <row r="27">
      <c r="A27" s="5" t="inlineStr">
        <is>
          <t>/blog</t>
        </is>
      </c>
      <c r="B27" s="5" t="inlineStr">
        <is>
          <t>Blog</t>
        </is>
      </c>
      <c r="C27" s="5" t="inlineStr">
        <is>
          <t>Knightsbridge Circle Pricing Information</t>
        </is>
      </c>
      <c r="D27" s="5" t="n">
        <v>40</v>
      </c>
      <c r="E27" s="5" t="inlineStr">
        <is>
          <t>Knightsbridge Circle membership costs, what a membership includes, and whether it represents the right commitment for your family.</t>
        </is>
      </c>
      <c r="F27" s="5" t="n">
        <v>130</v>
      </c>
      <c r="G27" s="5" t="inlineStr">
        <is>
          <t>Knightsbridge Circle pricing</t>
        </is>
      </c>
      <c r="H27" s="5" t="inlineStr">
        <is>
          <t>How much does a Knightsbridge Circle membership cost? | Membership investment &amp; structure | What every Knightsbridge Circle member receives as standard | What affects the cost of membership | How costs stay predictable | How Knightsbridge Circle compares with the concierge market | For busy people: the fine print made simple | The value of membership | How to begin | Membership pricing FAQs | Begin a private conversation</t>
        </is>
      </c>
      <c r="I27" s="5" t="n">
        <v>2074</v>
      </c>
      <c r="J27" s="5" t="inlineStr">
        <is>
          <t>BlogPosting, ImageObject, Organization, Person, WebPage, WebSite</t>
        </is>
      </c>
      <c r="K27" s="5" t="n">
        <v>1</v>
      </c>
      <c r="L27" s="5" t="n">
        <v>0</v>
      </c>
      <c r="M27" s="5" t="inlineStr">
        <is>
          <t>yes</t>
        </is>
      </c>
      <c r="N27" s="5" t="n">
        <v>0</v>
      </c>
      <c r="O27" s="5" t="inlineStr">
        <is>
          <t>no FAQ/Service/LocalBusiness schema; few in-body internal links</t>
        </is>
      </c>
      <c r="P27" s="5" t="inlineStr">
        <is>
          <t>Medium</t>
        </is>
      </c>
    </row>
    <row r="28">
      <c r="A28" s="5" t="inlineStr">
        <is>
          <t>/blog/category/information</t>
        </is>
      </c>
      <c r="B28" s="5" t="inlineStr">
        <is>
          <t>Blog</t>
        </is>
      </c>
      <c r="C28" s="5" t="inlineStr">
        <is>
          <t>Information - Knightsbridge Circle</t>
        </is>
      </c>
      <c r="D28" s="5" t="n">
        <v>34</v>
      </c>
      <c r="E28" s="5" t="inlineStr"/>
      <c r="F28" s="5" t="n">
        <v>0</v>
      </c>
      <c r="G28" s="5" t="inlineStr">
        <is>
          <t>Information</t>
        </is>
      </c>
      <c r="H28" s="5" t="inlineStr">
        <is>
          <t>Knightsbridge Circle pricing | Hot Five</t>
        </is>
      </c>
      <c r="I28" s="5" t="n">
        <v>72</v>
      </c>
      <c r="J28" s="5" t="inlineStr">
        <is>
          <t>CollectionPage, ImageObject, Organization, WebSite</t>
        </is>
      </c>
      <c r="K28" s="5" t="n">
        <v>2</v>
      </c>
      <c r="L28" s="5" t="n">
        <v>0</v>
      </c>
      <c r="M28" s="5" t="inlineStr">
        <is>
          <t>no</t>
        </is>
      </c>
      <c r="N28" s="5" t="n">
        <v>0</v>
      </c>
      <c r="O28" s="5" t="inlineStr">
        <is>
          <t>no meta description; no FAQ/Service/LocalBusiness schema; few in-body internal links</t>
        </is>
      </c>
      <c r="P28" s="5" t="inlineStr">
        <is>
          <t>Medium</t>
        </is>
      </c>
    </row>
    <row r="29">
      <c r="A29" s="5" t="inlineStr">
        <is>
          <t>/blog/knightsbridge-circle-pricing</t>
        </is>
      </c>
      <c r="B29" s="5" t="inlineStr">
        <is>
          <t>Blog</t>
        </is>
      </c>
      <c r="C29" s="5" t="inlineStr">
        <is>
          <t>Knightsbridge Circle Pricing Information</t>
        </is>
      </c>
      <c r="D29" s="5" t="n">
        <v>40</v>
      </c>
      <c r="E29" s="5" t="inlineStr">
        <is>
          <t>Knightsbridge Circle membership costs, what a membership includes, and whether it represents the right commitment for your family.</t>
        </is>
      </c>
      <c r="F29" s="5" t="n">
        <v>130</v>
      </c>
      <c r="G29" s="5" t="inlineStr">
        <is>
          <t>Knightsbridge Circle pricing</t>
        </is>
      </c>
      <c r="H29" s="5" t="inlineStr">
        <is>
          <t>How much does a Knightsbridge Circle membership cost? | Membership investment &amp; structure | What every Knightsbridge Circle member receives as standard | What affects the cost of membership | How costs stay predictable | How Knightsbridge Circle compares with the concierge market | For busy people: the fine print made simple | The value of membership | How to begin | Membership pricing FAQs | Begin a private conversation</t>
        </is>
      </c>
      <c r="I29" s="5" t="n">
        <v>2074</v>
      </c>
      <c r="J29" s="5" t="inlineStr">
        <is>
          <t>BlogPosting, ImageObject, Organization, Person, WebPage, WebSite</t>
        </is>
      </c>
      <c r="K29" s="5" t="n">
        <v>1</v>
      </c>
      <c r="L29" s="5" t="n">
        <v>0</v>
      </c>
      <c r="M29" s="5" t="inlineStr">
        <is>
          <t>yes</t>
        </is>
      </c>
      <c r="N29" s="5" t="n">
        <v>0</v>
      </c>
      <c r="O29" s="5" t="inlineStr">
        <is>
          <t>no FAQ/Service/LocalBusiness schema; few in-body internal links</t>
        </is>
      </c>
      <c r="P29" s="5" t="inlineStr">
        <is>
          <t>Medium</t>
        </is>
      </c>
    </row>
    <row r="30">
      <c r="A30" s="5" t="inlineStr">
        <is>
          <t>/apply-for-membership</t>
        </is>
      </c>
      <c r="B30" s="5" t="inlineStr">
        <is>
          <t>Page</t>
        </is>
      </c>
      <c r="C30" s="5" t="inlineStr">
        <is>
          <t>Apply for membership - Knightsbridge Circle</t>
        </is>
      </c>
      <c r="D30" s="5" t="n">
        <v>43</v>
      </c>
      <c r="E30" s="5" t="inlineStr">
        <is>
          <t>Our committee meet monthly to review new membership applications. If you are interested in being considered, please complete this online form or download and</t>
        </is>
      </c>
      <c r="F30" s="5" t="n">
        <v>157</v>
      </c>
      <c r="G30" s="5" t="inlineStr">
        <is>
          <t>Apply for membership</t>
        </is>
      </c>
      <c r="H30" s="5" t="inlineStr"/>
      <c r="I30" s="5" t="n">
        <v>147</v>
      </c>
      <c r="J30" s="5" t="inlineStr">
        <is>
          <t>Article, ImageObject, Organization, Person, WebPage, WebSite</t>
        </is>
      </c>
      <c r="K30" s="5" t="n">
        <v>3</v>
      </c>
      <c r="L30" s="5" t="n">
        <v>0</v>
      </c>
      <c r="M30" s="5" t="inlineStr">
        <is>
          <t>no</t>
        </is>
      </c>
      <c r="N30" s="5" t="n">
        <v>0</v>
      </c>
      <c r="O30" s="5" t="inlineStr">
        <is>
          <t>thin for a service page (&lt;700 words); no FAQ/Service/LocalBusiness schema; few in-body internal links; no FAQ section</t>
        </is>
      </c>
      <c r="P30" s="5" t="inlineStr">
        <is>
          <t>Low</t>
        </is>
      </c>
    </row>
    <row r="31">
      <c r="A31" s="5" t="inlineStr">
        <is>
          <t>/contact</t>
        </is>
      </c>
      <c r="B31" s="5" t="inlineStr">
        <is>
          <t>Page</t>
        </is>
      </c>
      <c r="C31" s="5" t="inlineStr">
        <is>
          <t>Contact - Knightsbridge Circle</t>
        </is>
      </c>
      <c r="D31" s="5" t="n">
        <v>30</v>
      </c>
      <c r="E31" s="5" t="inlineStr">
        <is>
          <t>Knightsbridge Circle LondonStudio 41, 4 Montpelier StreetKnightsbridgeLondon SW7 1EEUnited KingdomTel: +44 (0) 203 6275 769</t>
        </is>
      </c>
      <c r="F31" s="5" t="n">
        <v>123</v>
      </c>
      <c r="G31" s="5" t="inlineStr">
        <is>
          <t>Contact us</t>
        </is>
      </c>
      <c r="H31" s="5" t="inlineStr"/>
      <c r="I31" s="5" t="n">
        <v>59</v>
      </c>
      <c r="J31" s="5" t="inlineStr">
        <is>
          <t>Article, ImageObject, Organization, Person, WebPage, WebSite</t>
        </is>
      </c>
      <c r="K31" s="5" t="n">
        <v>3</v>
      </c>
      <c r="L31" s="5" t="n">
        <v>0</v>
      </c>
      <c r="M31" s="5" t="inlineStr">
        <is>
          <t>no</t>
        </is>
      </c>
      <c r="N31" s="5" t="n">
        <v>0</v>
      </c>
      <c r="O31" s="5" t="inlineStr">
        <is>
          <t>thin for a service page (&lt;700 words); no FAQ/Service/LocalBusiness schema; few in-body internal links; no FAQ section</t>
        </is>
      </c>
      <c r="P31" s="5" t="inlineStr">
        <is>
          <t>Low</t>
        </is>
      </c>
    </row>
    <row r="32">
      <c r="A32" s="5" t="inlineStr">
        <is>
          <t>/cookie-policy</t>
        </is>
      </c>
      <c r="B32" s="5" t="inlineStr">
        <is>
          <t>Legal</t>
        </is>
      </c>
      <c r="C32" s="5" t="inlineStr">
        <is>
          <t>Cookie Policy – Knightsbridge Circle</t>
        </is>
      </c>
      <c r="D32" s="5" t="n">
        <v>36</v>
      </c>
      <c r="E32" s="5" t="inlineStr">
        <is>
          <t>This Cookie Policy explains what cookies are, how we use them, the types of cookies we use.</t>
        </is>
      </c>
      <c r="F32" s="5" t="n">
        <v>91</v>
      </c>
      <c r="G32" s="5" t="inlineStr">
        <is>
          <t>Cookie Policy</t>
        </is>
      </c>
      <c r="H32" s="5" t="inlineStr"/>
      <c r="I32" s="5" t="n">
        <v>11</v>
      </c>
      <c r="J32" s="5" t="inlineStr">
        <is>
          <t>Article, ImageObject, Organization, Person, WebPage, WebSite</t>
        </is>
      </c>
      <c r="K32" s="5" t="n">
        <v>1</v>
      </c>
      <c r="L32" s="5" t="n">
        <v>0</v>
      </c>
      <c r="M32" s="5" t="inlineStr">
        <is>
          <t>no</t>
        </is>
      </c>
      <c r="N32" s="5" t="n">
        <v>0</v>
      </c>
      <c r="O32" s="5" t="inlineStr">
        <is>
          <t>no FAQ/Service/LocalBusiness schema</t>
        </is>
      </c>
      <c r="P32" s="5" t="inlineStr">
        <is>
          <t>Low</t>
        </is>
      </c>
    </row>
    <row r="33">
      <c r="A33" s="5" t="inlineStr">
        <is>
          <t>/locations.kml</t>
        </is>
      </c>
      <c r="B33" s="5" t="inlineStr">
        <is>
          <t>Feed</t>
        </is>
      </c>
      <c r="C33" s="5" t="inlineStr"/>
      <c r="D33" s="5" t="n">
        <v>0</v>
      </c>
      <c r="E33" s="5" t="inlineStr"/>
      <c r="F33" s="5" t="n">
        <v>0</v>
      </c>
      <c r="G33" s="5" t="inlineStr"/>
      <c r="H33" s="5" t="inlineStr"/>
      <c r="I33" s="5" t="n">
        <v>7</v>
      </c>
      <c r="J33" s="5" t="inlineStr"/>
      <c r="K33" s="5" t="n">
        <v>1</v>
      </c>
      <c r="L33" s="5" t="n">
        <v>0</v>
      </c>
      <c r="M33" s="5" t="inlineStr">
        <is>
          <t>no</t>
        </is>
      </c>
      <c r="N33" s="5" t="n">
        <v>0</v>
      </c>
      <c r="O33" s="5" t="inlineStr">
        <is>
          <t>no meta description; h1 count 0; no FAQ/Service/LocalBusiness schema; few in-body internal links</t>
        </is>
      </c>
      <c r="P33" s="5" t="inlineStr">
        <is>
          <t>Low</t>
        </is>
      </c>
    </row>
    <row r="34">
      <c r="A34" s="5" t="inlineStr">
        <is>
          <t>/privacy-policy</t>
        </is>
      </c>
      <c r="B34" s="5" t="inlineStr">
        <is>
          <t>Legal</t>
        </is>
      </c>
      <c r="C34" s="5" t="inlineStr">
        <is>
          <t>Privacy Policy - Knightsbridge Circle</t>
        </is>
      </c>
      <c r="D34" s="5" t="n">
        <v>37</v>
      </c>
      <c r="E34" s="5" t="inlineStr">
        <is>
          <t>Knightsbridge Circle Ltd is committed to protecting your privacy. This Privacy Statement explains how, and for what purposes, we use the information collected</t>
        </is>
      </c>
      <c r="F34" s="5" t="n">
        <v>158</v>
      </c>
      <c r="G34" s="5" t="inlineStr">
        <is>
          <t>Privacy Policy</t>
        </is>
      </c>
      <c r="H34" s="5" t="inlineStr">
        <is>
          <t>Introduction | How Your Data Is Used | How We Look After Your Data | How We Collect Data From You | When Do We Give Your Data To Other People?</t>
        </is>
      </c>
      <c r="I34" s="5" t="n">
        <v>2400</v>
      </c>
      <c r="J34" s="5" t="inlineStr">
        <is>
          <t>Article, ImageObject, Organization, Person, WebPage, WebSite</t>
        </is>
      </c>
      <c r="K34" s="5" t="n">
        <v>2</v>
      </c>
      <c r="L34" s="5" t="n">
        <v>0</v>
      </c>
      <c r="M34" s="5" t="inlineStr">
        <is>
          <t>no</t>
        </is>
      </c>
      <c r="N34" s="5" t="n">
        <v>0</v>
      </c>
      <c r="O34" s="5" t="inlineStr">
        <is>
          <t>no FAQ/Service/LocalBusiness schema</t>
        </is>
      </c>
      <c r="P34" s="5" t="inlineStr">
        <is>
          <t>Low</t>
        </is>
      </c>
    </row>
    <row r="35">
      <c r="A35" s="5" t="inlineStr">
        <is>
          <t>/terms-conditions</t>
        </is>
      </c>
      <c r="B35" s="5" t="inlineStr">
        <is>
          <t>Legal</t>
        </is>
      </c>
      <c r="C35" s="5" t="inlineStr">
        <is>
          <t>Membership Terms &amp; Conditions - Knightsbridge Circle</t>
        </is>
      </c>
      <c r="D35" s="5" t="n">
        <v>52</v>
      </c>
      <c r="E35" s="5" t="inlineStr">
        <is>
          <t>1.1 These are the terms and conditions on which we supply the By Invitation Service (being our lifestyle and management ‘services’) to you. These terms tell</t>
        </is>
      </c>
      <c r="F35" s="5" t="n">
        <v>156</v>
      </c>
      <c r="G35" s="5" t="inlineStr">
        <is>
          <t>Membership Terms &amp; Conditions</t>
        </is>
      </c>
      <c r="H35" s="5" t="inlineStr">
        <is>
          <t>1. Terms &amp; Conditions | 2. Our Contract | 3. By Invitation Service | 4. Providing The Services | 5. Your Rights To End The Contract | 6. How To End The Contract With Us | 7. Our Rights To End The Contract | 8. Complaints | 9. Payment | 10. Our Responsibility For Loss Or Damage Suffered By You | 11. Personal Data | 12. General Terms</t>
        </is>
      </c>
      <c r="I35" s="5" t="n">
        <v>3352</v>
      </c>
      <c r="J35" s="5" t="inlineStr">
        <is>
          <t>Article, ImageObject, Organization, Person, WebPage, WebSite</t>
        </is>
      </c>
      <c r="K35" s="5" t="n">
        <v>2</v>
      </c>
      <c r="L35" s="5" t="n">
        <v>0</v>
      </c>
      <c r="M35" s="5" t="inlineStr">
        <is>
          <t>no</t>
        </is>
      </c>
      <c r="N35" s="5" t="n">
        <v>0</v>
      </c>
      <c r="O35" s="5" t="inlineStr">
        <is>
          <t>no FAQ/Service/LocalBusiness schema</t>
        </is>
      </c>
      <c r="P35" s="5" t="inlineStr">
        <is>
          <t>Low</t>
        </is>
      </c>
    </row>
    <row r="37">
      <c r="A37" s="8" t="inlineStr">
        <is>
          <t>Findings by page (detail)</t>
        </is>
      </c>
    </row>
    <row r="38" ht="90" customHeight="1">
      <c r="A38" s="2" t="inlineStr">
        <is>
          <t>/</t>
        </is>
      </c>
      <c r="B38" s="2" t="inlineStr">
        <is>
          <t>Homepage</t>
        </is>
      </c>
      <c r="C38" s="2" t="inlineStr">
        <is>
          <t>Title 'Knightsbridge Circle – Beyond Concierge' carries no service keyword; H1 = brand only; 416 body words; links to only 5 of 11 location pages; no About page linked; ranks for brand + 'concierge services uk' #9 only.</t>
        </is>
      </c>
      <c r="G38" s="2" t="inlineStr">
        <is>
          <t>Title: 'Knightsbridge Circle | Luxury Lifestyle &amp; Travel Concierge Membership'. Add intro paragraph naming luxury concierge / lifestyle management; link every location and the pricing, membership and about pages; add Organization sameAs (LinkedIn, Wikipedia, GBP).</t>
        </is>
      </c>
    </row>
    <row r="39" ht="90" customHeight="1">
      <c r="A39" s="2" t="inlineStr">
        <is>
          <t>/luxury-travel-concierge</t>
        </is>
      </c>
      <c r="B39" s="2" t="inlineStr">
        <is>
          <t>Service page</t>
        </is>
      </c>
      <c r="C39" s="2" t="inlineStr">
        <is>
          <t>Zero rankings beyond brand. No meta description. 574 words, no FAQ, no Service schema, only nav links pointing in. SC #1 US on the same term with 600 vol.</t>
        </is>
      </c>
      <c r="G39" s="2" t="inlineStr">
        <is>
          <t>Rewrite around 'luxury travel concierge' + 'private travel concierge' + 'travel concierge services'; add 6-8 FAQs (cost, how it works, who it is for), Service + FAQPage schema; link from every location page with exact anchor; add jet/yacht/villa sub-sections.</t>
        </is>
      </c>
    </row>
    <row r="40" ht="90" customHeight="1">
      <c r="A40" s="2" t="inlineStr">
        <is>
          <t>/locations</t>
        </is>
      </c>
      <c r="B40" s="2" t="inlineStr">
        <is>
          <t>Hub</t>
        </is>
      </c>
      <c r="C40" s="2" t="inlineStr">
        <is>
          <t>71 words. Ranks #4 'concierge nyc' and #21 'luxury concierge service' by accident. Lists 10 cities but omits London.</t>
        </is>
      </c>
      <c r="G40" s="2" t="inlineStr">
        <is>
          <t>Turn into the global 'Luxury Concierge Service' hub: 300-500 words, one paragraph per city with exact-anchor links, add London, add schema ItemList. This is the page that should own 'luxury concierge service' generic.</t>
        </is>
      </c>
    </row>
    <row r="41" ht="90" customHeight="1">
      <c r="A41" s="2" t="inlineStr">
        <is>
          <t>/locations/london-concierge-service</t>
        </is>
      </c>
      <c r="B41" s="2" t="inlineStr">
        <is>
          <t>Location</t>
        </is>
      </c>
      <c r="C41" s="2" t="inlineStr">
        <is>
          <t>Meta description broken ('Tel: +44 (0) 203 6275 769Find us on Google'). 521 words. No FAQ, no LocalBusiness schema. Ranks #5 for concierge service london / luxury concierge london. Local pack present but KC GBP unclaimed.</t>
        </is>
      </c>
      <c r="G41" s="2" t="inlineStr">
        <is>
          <t>Fix meta; add FAQ (cost, membership, areas: Mayfair, Knightsbridge, Chelsea); LocalBusiness schema with Montpelier St address; claim GBP and link it; link to /access London venues (5 Hertford, Oswald's, Carbone, Celeste) as proof of access.</t>
        </is>
      </c>
    </row>
    <row r="42" ht="90" customHeight="1">
      <c r="A42" s="2" t="inlineStr">
        <is>
          <t>/locations/new-york-concierge-service</t>
        </is>
      </c>
      <c r="B42" s="2" t="inlineStr">
        <is>
          <t>Location</t>
        </is>
      </c>
      <c r="C42" s="2" t="inlineStr">
        <is>
          <t>Best page on the site: #1 luxury concierge nyc, #1 lifestyle concierge services, #2 lifestyle management services, #4 corporate concierge services. 716 words. No FAQ/schema. Old URL still 301s and shows in Ahrefs.</t>
        </is>
      </c>
      <c r="G42" s="2" t="inlineStr">
        <is>
          <t>Protect it: add FAQ + LocalBusiness schema; internal links from home, hub, travel page and Maxime's/Polo Bar/Corner Store access pages; do NOT touch the URL again.</t>
        </is>
      </c>
    </row>
    <row r="43" ht="90" customHeight="1">
      <c r="A43" s="2" t="inlineStr">
        <is>
          <t>/locations/miami-luxury-concierge</t>
        </is>
      </c>
      <c r="B43" s="2" t="inlineStr">
        <is>
          <t>Location</t>
        </is>
      </c>
      <c r="C43" s="2" t="inlineStr">
        <is>
          <t>Ranks #2 luxury concierge miami, #3 concierge services miami but Ahrefs still attributes traffic to old /miami-luxury-concierge URL = consolidation in progress after URL move.</t>
        </is>
      </c>
      <c r="G43" s="2" t="inlineStr">
        <is>
          <t>Leave URL alone; add FAQ + schema; link from Polo Room / Vineta access pages; add Palm Beach cross-link.</t>
        </is>
      </c>
    </row>
    <row r="44" ht="90" customHeight="1">
      <c r="A44" s="2" t="inlineStr">
        <is>
          <t>/locations/los-angeles-concierge-service</t>
        </is>
      </c>
      <c r="B44" s="2" t="inlineStr">
        <is>
          <t>Location</t>
        </is>
      </c>
      <c r="C44" s="2" t="inlineStr">
        <is>
          <t>#1 concierge services los angeles, #2 luxury concierge service los angeles. 539 words.</t>
        </is>
      </c>
      <c r="G44" s="2" t="inlineStr">
        <is>
          <t>Same template upgrade; add Beverly Hills / Malibu sub-areas; note SC HQ is Beverly Hills.</t>
        </is>
      </c>
    </row>
    <row r="45" ht="90" customHeight="1">
      <c r="A45" s="2" t="inlineStr">
        <is>
          <t>/locations/luxury-concierge-dallas</t>
        </is>
      </c>
      <c r="B45" s="2" t="inlineStr">
        <is>
          <t>Location</t>
        </is>
      </c>
      <c r="C45" s="2" t="inlineStr">
        <is>
          <t>Ranks #7 for 'luxury lifestyle concierge' (300 vol US) — the wrong page for a generic term.</t>
        </is>
      </c>
      <c r="G45" s="2" t="inlineStr">
        <is>
          <t>Point 'luxury lifestyle concierge' at a dedicated lifestyle page or the hub; keep Dallas page on Dallas terms.</t>
        </is>
      </c>
    </row>
    <row r="46" ht="90" customHeight="1">
      <c r="A46" s="2" t="inlineStr">
        <is>
          <t>/locations/dubai-concierge-service</t>
        </is>
      </c>
      <c r="B46" s="2" t="inlineStr">
        <is>
          <t>Location</t>
        </is>
      </c>
      <c r="C46" s="2" t="inlineStr">
        <is>
          <t>732 words, published Jul 2026, no rankings yet. AE demand: luxury concierge dubai 150, concierge service dubai 70.</t>
        </is>
      </c>
      <c r="G46" s="2" t="inlineStr">
        <is>
          <t>Add Arabic-market signals: DIFC/Palm/Downtown areas, UAE phone or WhatsApp, LocalBusiness with Dubai area served; hreflang not needed (English). Build 3-5 UAE links.</t>
        </is>
      </c>
    </row>
    <row r="47" ht="90" customHeight="1">
      <c r="A47" s="2" t="inlineStr">
        <is>
          <t>/locations/singapore-concierge-service</t>
        </is>
      </c>
      <c r="B47" s="2" t="inlineStr">
        <is>
          <t>Location</t>
        </is>
      </c>
      <c r="C47" s="2" t="inlineStr">
        <is>
          <t>591 words, no rankings. SG demand: concierge service singapore 100.</t>
        </is>
      </c>
      <c r="G47" s="2" t="inlineStr">
        <is>
          <t>Same; add Marina Bay / Sentosa / F1 Singapore GP access.</t>
        </is>
      </c>
    </row>
    <row r="48" ht="90" customHeight="1">
      <c r="A48" s="2" t="inlineStr">
        <is>
          <t>/locations/amsterdam-concierge-service, /lisbon-, /boston-, /luxury-concierge-palm-beach</t>
        </is>
      </c>
      <c r="B48" s="2" t="inlineStr">
        <is>
          <t>Location</t>
        </is>
      </c>
      <c r="C48" s="2" t="inlineStr">
        <is>
          <t>No measurable local demand for 'luxury concierge {city}'. Amsterdam/Lisbon show 0 volume in NL/PT and GB/US.</t>
        </is>
      </c>
      <c r="G48" s="2" t="inlineStr">
        <is>
          <t>Keep (they support the entity's 'global' claim) but do not expand into more zero-demand cities. Prioritise Paris, Monaco, Mykonos, Cannes, Aspen, Las Vegas, Geneva/Zurich where demand exists.</t>
        </is>
      </c>
    </row>
    <row r="49" ht="90" customHeight="1">
      <c r="A49" s="2" t="inlineStr">
        <is>
          <t>/access + 9 venue pages</t>
        </is>
      </c>
      <c r="B49" s="2" t="inlineStr">
        <is>
          <t>Access</t>
        </is>
      </c>
      <c r="C49" s="2" t="inlineStr">
        <is>
          <t>Access pages drive ~55% of KC organic traffic (5 Hertford St, Oswald's, Maxime's, Carbone) but it is venue-lookup traffic, not buyer intent. Pages carry a 'not the venue' disclaimer and do not link to location pages.</t>
        </is>
      </c>
      <c r="G49" s="2" t="inlineStr">
        <is>
          <t>Keep as link magnets and AI-citation fodder; add 'Access via Knightsbridge Circle' CTA linking to the city page + membership; add Restaurant/Place schema; expand to 20-30 venues across NY, London, Miami, Dubai (this is KC's equivalent of SC's magazine).</t>
        </is>
      </c>
    </row>
    <row r="50" ht="90" customHeight="1">
      <c r="A50" s="2" t="inlineStr">
        <is>
          <t>/blog/knightsbridge-circle-pricing</t>
        </is>
      </c>
      <c r="B50" s="2" t="inlineStr">
        <is>
          <t>Blog</t>
        </is>
      </c>
      <c r="C50" s="2" t="inlineStr">
        <is>
          <t>2,152 words, 15 FAQs, BlogPosting schema only (no FAQPage). It is the only post; /blog hub shows the same content. Title 'Knightsbridge Circle Pricing Information'.</t>
        </is>
      </c>
      <c r="G50" s="2" t="inlineStr">
        <is>
          <t>Add FAQPage schema; retitle 'Knightsbridge Circle Membership Cost &amp; Pricing (2026)'; link from nav; build sibling AI-referral pages (see AI Visibility tab).</t>
        </is>
      </c>
    </row>
    <row r="51" ht="90" customHeight="1">
      <c r="A51" s="2" t="inlineStr">
        <is>
          <t>/apply-for-membership</t>
        </is>
      </c>
      <c r="B51" s="2" t="inlineStr">
        <is>
          <t>Conversion</t>
        </is>
      </c>
      <c r="C51" s="2" t="inlineStr">
        <is>
          <t>147 words; long form (title, DOB, address, signature) with no reassurance copy; no schema.</t>
        </is>
      </c>
      <c r="G51" s="2" t="inlineStr">
        <is>
          <t>Add 'who we accept', response time, 3-step process, testimonials; keep form. Consider Calendly-style call booking as a lower-friction path.</t>
        </is>
      </c>
    </row>
    <row r="52" ht="90" customHeight="1">
      <c r="A52" s="2" t="inlineStr">
        <is>
          <t>/about</t>
        </is>
      </c>
      <c r="B52" s="2" t="inlineStr">
        <is>
          <t>Missing</t>
        </is>
      </c>
      <c r="C52" s="2" t="inlineStr">
        <is>
          <t>404. Homepage has an 'About our founder' section but no page. SC has /about/our-founder ranking for the founder's name.</t>
        </is>
      </c>
      <c r="G52" s="2" t="inlineStr">
        <is>
          <t>Create /about and /about/stuart-mcneill with Person schema, press mentions, Wikipedia link; the entity page AI answers need.</t>
        </is>
      </c>
    </row>
    <row r="53" ht="90" customHeight="1">
      <c r="A53" s="2" t="inlineStr">
        <is>
          <t>Sitewide</t>
        </is>
      </c>
      <c r="B53" s="2" t="inlineStr">
        <is>
          <t>Technical</t>
        </is>
      </c>
      <c r="C53" s="2" t="inlineStr">
        <is>
          <t>URL migration (flat -&gt; /locations/, /access/) completed ~Jul 2026 with clean 301s; Ahrefs still shows old URLs = Google mid-consolidation. Freeze the URL graph. No LocalBusiness/Service/FAQPage schema anywhere. GTM present, Crisp chat present; no HubSpot/CRM pixel, no LinkedIn Insight tag, no Meta pixel. Kadence theme/WordPress.</t>
        </is>
      </c>
      <c r="G53" s="2" t="inlineStr">
        <is>
          <t>No further URL changes for 2 quarters. Add schema layer sitewide. Add LinkedIn Insight + conversion tracking on form submit before any paid or LinkedIn spend. CRM integration on the application form.</t>
        </is>
      </c>
    </row>
  </sheetData>
  <autoFilter ref="A2:P35"/>
  <mergeCells count="33">
    <mergeCell ref="C52:F52"/>
    <mergeCell ref="C48:F48"/>
    <mergeCell ref="C39:F39"/>
    <mergeCell ref="G51:J51"/>
    <mergeCell ref="C38:F38"/>
    <mergeCell ref="G47:J47"/>
    <mergeCell ref="G41:J41"/>
    <mergeCell ref="G50:J50"/>
    <mergeCell ref="G44:J44"/>
    <mergeCell ref="G46:J46"/>
    <mergeCell ref="G40:J40"/>
    <mergeCell ref="C53:F53"/>
    <mergeCell ref="C49:F49"/>
    <mergeCell ref="G43:J43"/>
    <mergeCell ref="G52:J52"/>
    <mergeCell ref="C42:F42"/>
    <mergeCell ref="G42:J42"/>
    <mergeCell ref="C45:F45"/>
    <mergeCell ref="G48:J48"/>
    <mergeCell ref="G39:J39"/>
    <mergeCell ref="A1:P1"/>
    <mergeCell ref="G38:J38"/>
    <mergeCell ref="C41:F41"/>
    <mergeCell ref="C47:F47"/>
    <mergeCell ref="C50:F50"/>
    <mergeCell ref="C44:F44"/>
    <mergeCell ref="C40:F40"/>
    <mergeCell ref="G53:J53"/>
    <mergeCell ref="G49:J49"/>
    <mergeCell ref="C43:F43"/>
    <mergeCell ref="C46:F46"/>
    <mergeCell ref="C51:F51"/>
    <mergeCell ref="G45:J45"/>
  </mergeCell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E64"/>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8" customWidth="1" min="3" max="3"/>
    <col width="8" customWidth="1" min="4" max="4"/>
    <col width="10" customWidth="1" min="5" max="5"/>
  </cols>
  <sheetData>
    <row r="1" ht="30" customHeight="1">
      <c r="A1" s="3" t="inlineStr">
        <is>
          <t>Ahrefs referring domains, top by DR, 2026-09-01. KC: 599 live ref domains; SC: 704. SC has the deeper press bench (Bloomberg, WSJ, Harper's Bazaar, Hollywood Reporter, qz.com sitewide). KC gained Wikipedia (Aug 2026), CN Traveler (Aug 2026), Hollywood Reporter (Jul 2026), Robb Report and Town &amp; Country (Apr 2026), so the PR specialist is delivering.</t>
        </is>
      </c>
    </row>
    <row r="2">
      <c r="A2" s="4" t="inlineStr">
        <is>
          <t>Site</t>
        </is>
      </c>
      <c r="B2" s="4" t="inlineStr">
        <is>
          <t>Referring domain</t>
        </is>
      </c>
      <c r="C2" s="4" t="inlineStr">
        <is>
          <t>DR</t>
        </is>
      </c>
      <c r="D2" s="4" t="inlineStr">
        <is>
          <t>Links</t>
        </is>
      </c>
      <c r="E2" s="4" t="inlineStr">
        <is>
          <t>Dofollow</t>
        </is>
      </c>
    </row>
    <row r="3">
      <c r="A3" s="5" t="inlineStr">
        <is>
          <t>KC</t>
        </is>
      </c>
      <c r="B3" s="5" t="inlineStr">
        <is>
          <t>wikipedia.org</t>
        </is>
      </c>
      <c r="C3" s="5" t="n">
        <v>97</v>
      </c>
      <c r="D3" s="5" t="n">
        <v>1</v>
      </c>
      <c r="E3" s="5" t="n">
        <v>0</v>
      </c>
    </row>
    <row r="4">
      <c r="A4" s="5" t="inlineStr">
        <is>
          <t>KC</t>
        </is>
      </c>
      <c r="B4" s="5" t="inlineStr">
        <is>
          <t>squarespace.com</t>
        </is>
      </c>
      <c r="C4" s="5" t="n">
        <v>95</v>
      </c>
      <c r="D4" s="5" t="n">
        <v>11</v>
      </c>
      <c r="E4" s="5" t="n">
        <v>11</v>
      </c>
    </row>
    <row r="5">
      <c r="A5" s="5" t="inlineStr">
        <is>
          <t>KC</t>
        </is>
      </c>
      <c r="B5" s="5" t="inlineStr">
        <is>
          <t>medium.com</t>
        </is>
      </c>
      <c r="C5" s="5" t="n">
        <v>94</v>
      </c>
      <c r="D5" s="5" t="n">
        <v>2</v>
      </c>
      <c r="E5" s="5" t="n">
        <v>0</v>
      </c>
    </row>
    <row r="6">
      <c r="A6" s="5" t="inlineStr">
        <is>
          <t>KC</t>
        </is>
      </c>
      <c r="B6" s="5" t="inlineStr">
        <is>
          <t>forbes.com</t>
        </is>
      </c>
      <c r="C6" s="5" t="n">
        <v>94</v>
      </c>
      <c r="D6" s="5" t="n">
        <v>5</v>
      </c>
      <c r="E6" s="5" t="n">
        <v>0</v>
      </c>
    </row>
    <row r="7">
      <c r="A7" s="5" t="inlineStr">
        <is>
          <t>KC</t>
        </is>
      </c>
      <c r="B7" s="5" t="inlineStr">
        <is>
          <t>nytimes.com</t>
        </is>
      </c>
      <c r="C7" s="5" t="n">
        <v>94</v>
      </c>
      <c r="D7" s="5" t="n">
        <v>6</v>
      </c>
      <c r="E7" s="5" t="n">
        <v>6</v>
      </c>
    </row>
    <row r="8">
      <c r="A8" s="5" t="inlineStr">
        <is>
          <t>KC</t>
        </is>
      </c>
      <c r="B8" s="5" t="inlineStr">
        <is>
          <t>bbc.co.uk</t>
        </is>
      </c>
      <c r="C8" s="5" t="n">
        <v>93</v>
      </c>
      <c r="D8" s="5" t="n">
        <v>1</v>
      </c>
      <c r="E8" s="5" t="n">
        <v>1</v>
      </c>
    </row>
    <row r="9">
      <c r="A9" s="5" t="inlineStr">
        <is>
          <t>KC</t>
        </is>
      </c>
      <c r="B9" s="5" t="inlineStr">
        <is>
          <t>cnn.com</t>
        </is>
      </c>
      <c r="C9" s="5" t="n">
        <v>93</v>
      </c>
      <c r="D9" s="5" t="n">
        <v>1</v>
      </c>
      <c r="E9" s="5" t="n">
        <v>1</v>
      </c>
    </row>
    <row r="10">
      <c r="A10" s="5" t="inlineStr">
        <is>
          <t>KC</t>
        </is>
      </c>
      <c r="B10" s="5" t="inlineStr">
        <is>
          <t>bbc.com</t>
        </is>
      </c>
      <c r="C10" s="5" t="n">
        <v>93</v>
      </c>
      <c r="D10" s="5" t="n">
        <v>1</v>
      </c>
      <c r="E10" s="5" t="n">
        <v>1</v>
      </c>
    </row>
    <row r="11">
      <c r="A11" s="5" t="inlineStr">
        <is>
          <t>KC</t>
        </is>
      </c>
      <c r="B11" s="5" t="inlineStr">
        <is>
          <t>businessinsider.com</t>
        </is>
      </c>
      <c r="C11" s="5" t="n">
        <v>92</v>
      </c>
      <c r="D11" s="5" t="n">
        <v>3</v>
      </c>
      <c r="E11" s="5" t="n">
        <v>0</v>
      </c>
    </row>
    <row r="12">
      <c r="A12" s="5" t="inlineStr">
        <is>
          <t>KC</t>
        </is>
      </c>
      <c r="B12" s="5" t="inlineStr">
        <is>
          <t>telegraph.co.uk</t>
        </is>
      </c>
      <c r="C12" s="5" t="n">
        <v>91</v>
      </c>
      <c r="D12" s="5" t="n">
        <v>3</v>
      </c>
      <c r="E12" s="5" t="n">
        <v>2</v>
      </c>
    </row>
    <row r="13">
      <c r="A13" s="5" t="inlineStr">
        <is>
          <t>KC</t>
        </is>
      </c>
      <c r="B13" s="5" t="inlineStr">
        <is>
          <t>aol.com</t>
        </is>
      </c>
      <c r="C13" s="5" t="n">
        <v>91</v>
      </c>
      <c r="D13" s="5" t="n">
        <v>3</v>
      </c>
      <c r="E13" s="5" t="n">
        <v>0</v>
      </c>
    </row>
    <row r="14">
      <c r="A14" s="5" t="inlineStr">
        <is>
          <t>KC</t>
        </is>
      </c>
      <c r="B14" s="5" t="inlineStr">
        <is>
          <t>provenexpert.com</t>
        </is>
      </c>
      <c r="C14" s="5" t="n">
        <v>91</v>
      </c>
      <c r="D14" s="5" t="n">
        <v>3</v>
      </c>
      <c r="E14" s="5" t="n">
        <v>3</v>
      </c>
    </row>
    <row r="15">
      <c r="A15" s="5" t="inlineStr">
        <is>
          <t>KC</t>
        </is>
      </c>
      <c r="B15" s="5" t="inlineStr">
        <is>
          <t>yell.com</t>
        </is>
      </c>
      <c r="C15" s="5" t="n">
        <v>91</v>
      </c>
      <c r="D15" s="5" t="n">
        <v>22</v>
      </c>
      <c r="E15" s="5" t="n">
        <v>0</v>
      </c>
    </row>
    <row r="16">
      <c r="A16" s="5" t="inlineStr">
        <is>
          <t>KC</t>
        </is>
      </c>
      <c r="B16" s="5" t="inlineStr">
        <is>
          <t>hollywoodreporter.com</t>
        </is>
      </c>
      <c r="C16" s="5" t="n">
        <v>90</v>
      </c>
      <c r="D16" s="5" t="n">
        <v>1</v>
      </c>
      <c r="E16" s="5" t="n">
        <v>0</v>
      </c>
    </row>
    <row r="17">
      <c r="A17" s="5" t="inlineStr">
        <is>
          <t>KC</t>
        </is>
      </c>
      <c r="B17" s="5" t="inlineStr">
        <is>
          <t>globalnews.ca</t>
        </is>
      </c>
      <c r="C17" s="5" t="n">
        <v>89</v>
      </c>
      <c r="D17" s="5" t="n">
        <v>2</v>
      </c>
      <c r="E17" s="5" t="n">
        <v>2</v>
      </c>
    </row>
    <row r="18">
      <c r="A18" s="5" t="inlineStr">
        <is>
          <t>KC</t>
        </is>
      </c>
      <c r="B18" s="5" t="inlineStr">
        <is>
          <t>cntraveler.com</t>
        </is>
      </c>
      <c r="C18" s="5" t="n">
        <v>88</v>
      </c>
      <c r="D18" s="5" t="n">
        <v>1</v>
      </c>
      <c r="E18" s="5" t="n">
        <v>0</v>
      </c>
    </row>
    <row r="19">
      <c r="A19" s="5" t="inlineStr">
        <is>
          <t>KC</t>
        </is>
      </c>
      <c r="B19" s="5" t="inlineStr">
        <is>
          <t>monash.edu</t>
        </is>
      </c>
      <c r="C19" s="5" t="n">
        <v>86</v>
      </c>
      <c r="D19" s="5" t="n">
        <v>2</v>
      </c>
      <c r="E19" s="5" t="n">
        <v>2</v>
      </c>
    </row>
    <row r="20">
      <c r="A20" s="5" t="inlineStr">
        <is>
          <t>KC</t>
        </is>
      </c>
      <c r="B20" s="5" t="inlineStr">
        <is>
          <t>derstandard.at</t>
        </is>
      </c>
      <c r="C20" s="5" t="n">
        <v>86</v>
      </c>
      <c r="D20" s="5" t="n">
        <v>1</v>
      </c>
      <c r="E20" s="5" t="n">
        <v>1</v>
      </c>
    </row>
    <row r="21">
      <c r="A21" s="5" t="inlineStr">
        <is>
          <t>KC</t>
        </is>
      </c>
      <c r="B21" s="5" t="inlineStr">
        <is>
          <t>robbreport.com</t>
        </is>
      </c>
      <c r="C21" s="5" t="n">
        <v>85</v>
      </c>
      <c r="D21" s="5" t="n">
        <v>1</v>
      </c>
      <c r="E21" s="5" t="n">
        <v>0</v>
      </c>
    </row>
    <row r="22">
      <c r="A22" s="5" t="inlineStr">
        <is>
          <t>KC</t>
        </is>
      </c>
      <c r="B22" s="5" t="inlineStr">
        <is>
          <t>lexpress.fr</t>
        </is>
      </c>
      <c r="C22" s="5" t="n">
        <v>85</v>
      </c>
      <c r="D22" s="5" t="n">
        <v>1</v>
      </c>
      <c r="E22" s="5" t="n">
        <v>1</v>
      </c>
    </row>
    <row r="23">
      <c r="A23" s="5" t="inlineStr">
        <is>
          <t>KC</t>
        </is>
      </c>
      <c r="B23" s="5" t="inlineStr">
        <is>
          <t>as.com</t>
        </is>
      </c>
      <c r="C23" s="5" t="n">
        <v>85</v>
      </c>
      <c r="D23" s="5" t="n">
        <v>2</v>
      </c>
      <c r="E23" s="5" t="n">
        <v>2</v>
      </c>
    </row>
    <row r="24">
      <c r="A24" s="5" t="inlineStr">
        <is>
          <t>KC</t>
        </is>
      </c>
      <c r="B24" s="5" t="inlineStr">
        <is>
          <t>nine.com.au</t>
        </is>
      </c>
      <c r="C24" s="5" t="n">
        <v>84</v>
      </c>
      <c r="D24" s="5" t="n">
        <v>1</v>
      </c>
      <c r="E24" s="5" t="n">
        <v>0</v>
      </c>
    </row>
    <row r="25">
      <c r="A25" s="5" t="inlineStr">
        <is>
          <t>KC</t>
        </is>
      </c>
      <c r="B25" s="5" t="inlineStr">
        <is>
          <t>townandcountrymag.com</t>
        </is>
      </c>
      <c r="C25" s="5" t="n">
        <v>83</v>
      </c>
      <c r="D25" s="5" t="n">
        <v>1</v>
      </c>
      <c r="E25" s="5" t="n">
        <v>1</v>
      </c>
    </row>
    <row r="26">
      <c r="A26" s="5" t="inlineStr">
        <is>
          <t>KC</t>
        </is>
      </c>
      <c r="B26" s="5" t="inlineStr">
        <is>
          <t>businessinsider.in</t>
        </is>
      </c>
      <c r="C26" s="5" t="n">
        <v>83</v>
      </c>
      <c r="D26" s="5" t="n">
        <v>3</v>
      </c>
      <c r="E26" s="5" t="n">
        <v>0</v>
      </c>
    </row>
    <row r="27">
      <c r="A27" s="5" t="inlineStr">
        <is>
          <t>KC</t>
        </is>
      </c>
      <c r="B27" s="5" t="inlineStr">
        <is>
          <t>businessinsider.de</t>
        </is>
      </c>
      <c r="C27" s="5" t="n">
        <v>82</v>
      </c>
      <c r="D27" s="5" t="n">
        <v>4</v>
      </c>
      <c r="E27" s="5" t="n">
        <v>4</v>
      </c>
    </row>
    <row r="28">
      <c r="A28" s="5" t="inlineStr">
        <is>
          <t>KC</t>
        </is>
      </c>
      <c r="B28" s="5" t="inlineStr">
        <is>
          <t>9news.com.au</t>
        </is>
      </c>
      <c r="C28" s="5" t="n">
        <v>81</v>
      </c>
      <c r="D28" s="5" t="n">
        <v>1</v>
      </c>
      <c r="E28" s="5" t="n">
        <v>1</v>
      </c>
    </row>
    <row r="29">
      <c r="A29" s="5" t="inlineStr">
        <is>
          <t>KC</t>
        </is>
      </c>
      <c r="B29" s="5" t="inlineStr">
        <is>
          <t>metropoles.com</t>
        </is>
      </c>
      <c r="C29" s="5" t="n">
        <v>81</v>
      </c>
      <c r="D29" s="5" t="n">
        <v>1</v>
      </c>
      <c r="E29" s="5" t="n">
        <v>1</v>
      </c>
    </row>
    <row r="30">
      <c r="A30" s="5" t="inlineStr">
        <is>
          <t>KC</t>
        </is>
      </c>
      <c r="B30" s="5" t="inlineStr">
        <is>
          <t>poder360.com.br</t>
        </is>
      </c>
      <c r="C30" s="5" t="n">
        <v>79</v>
      </c>
      <c r="D30" s="5" t="n">
        <v>2</v>
      </c>
      <c r="E30" s="5" t="n">
        <v>2</v>
      </c>
    </row>
    <row r="31">
      <c r="A31" s="5" t="inlineStr">
        <is>
          <t>KC</t>
        </is>
      </c>
      <c r="B31" s="5" t="inlineStr">
        <is>
          <t>coherentmarketinsights.com</t>
        </is>
      </c>
      <c r="C31" s="5" t="n">
        <v>78</v>
      </c>
      <c r="D31" s="5" t="n">
        <v>2</v>
      </c>
      <c r="E31" s="5" t="n">
        <v>2</v>
      </c>
    </row>
    <row r="32">
      <c r="A32" s="5" t="inlineStr">
        <is>
          <t>KC</t>
        </is>
      </c>
      <c r="B32" s="5" t="inlineStr">
        <is>
          <t>tatler.com</t>
        </is>
      </c>
      <c r="C32" s="5" t="n">
        <v>78</v>
      </c>
      <c r="D32" s="5" t="n">
        <v>2</v>
      </c>
      <c r="E32" s="5" t="n">
        <v>0</v>
      </c>
    </row>
    <row r="33">
      <c r="A33" s="5" t="inlineStr">
        <is>
          <t>SC</t>
        </is>
      </c>
      <c r="B33" s="5" t="inlineStr">
        <is>
          <t>google.com</t>
        </is>
      </c>
      <c r="C33" s="5" t="n">
        <v>99</v>
      </c>
      <c r="D33" s="5" t="n">
        <v>6</v>
      </c>
      <c r="E33" s="5" t="n">
        <v>0</v>
      </c>
    </row>
    <row r="34">
      <c r="A34" s="5" t="inlineStr">
        <is>
          <t>SC</t>
        </is>
      </c>
      <c r="B34" s="5" t="inlineStr">
        <is>
          <t>apple.com</t>
        </is>
      </c>
      <c r="C34" s="5" t="n">
        <v>97</v>
      </c>
      <c r="D34" s="5" t="n">
        <v>2</v>
      </c>
      <c r="E34" s="5" t="n">
        <v>0</v>
      </c>
    </row>
    <row r="35">
      <c r="A35" s="5" t="inlineStr">
        <is>
          <t>SC</t>
        </is>
      </c>
      <c r="B35" s="5" t="inlineStr">
        <is>
          <t>squarespace.com</t>
        </is>
      </c>
      <c r="C35" s="5" t="n">
        <v>95</v>
      </c>
      <c r="D35" s="5" t="n">
        <v>40</v>
      </c>
      <c r="E35" s="5" t="n">
        <v>40</v>
      </c>
    </row>
    <row r="36">
      <c r="A36" s="5" t="inlineStr">
        <is>
          <t>SC</t>
        </is>
      </c>
      <c r="B36" s="5" t="inlineStr">
        <is>
          <t>blogspot.com</t>
        </is>
      </c>
      <c r="C36" s="5" t="n">
        <v>95</v>
      </c>
      <c r="D36" s="5" t="n">
        <v>52</v>
      </c>
      <c r="E36" s="5" t="n">
        <v>51</v>
      </c>
    </row>
    <row r="37">
      <c r="A37" s="5" t="inlineStr">
        <is>
          <t>SC</t>
        </is>
      </c>
      <c r="B37" s="5" t="inlineStr">
        <is>
          <t>yahoo.com</t>
        </is>
      </c>
      <c r="C37" s="5" t="n">
        <v>94</v>
      </c>
      <c r="D37" s="5" t="n">
        <v>2</v>
      </c>
      <c r="E37" s="5" t="n">
        <v>0</v>
      </c>
    </row>
    <row r="38">
      <c r="A38" s="5" t="inlineStr">
        <is>
          <t>SC</t>
        </is>
      </c>
      <c r="B38" s="5" t="inlineStr">
        <is>
          <t>forbes.com</t>
        </is>
      </c>
      <c r="C38" s="5" t="n">
        <v>94</v>
      </c>
      <c r="D38" s="5" t="n">
        <v>13</v>
      </c>
      <c r="E38" s="5" t="n">
        <v>0</v>
      </c>
    </row>
    <row r="39">
      <c r="A39" s="5" t="inlineStr">
        <is>
          <t>SC</t>
        </is>
      </c>
      <c r="B39" s="5" t="inlineStr">
        <is>
          <t>nytimes.com</t>
        </is>
      </c>
      <c r="C39" s="5" t="n">
        <v>94</v>
      </c>
      <c r="D39" s="5" t="n">
        <v>3</v>
      </c>
      <c r="E39" s="5" t="n">
        <v>3</v>
      </c>
    </row>
    <row r="40">
      <c r="A40" s="5" t="inlineStr">
        <is>
          <t>SC</t>
        </is>
      </c>
      <c r="B40" s="5" t="inlineStr">
        <is>
          <t>cnn.com</t>
        </is>
      </c>
      <c r="C40" s="5" t="n">
        <v>93</v>
      </c>
      <c r="D40" s="5" t="n">
        <v>2</v>
      </c>
      <c r="E40" s="5" t="n">
        <v>2</v>
      </c>
    </row>
    <row r="41">
      <c r="A41" s="5" t="inlineStr">
        <is>
          <t>SC</t>
        </is>
      </c>
      <c r="B41" s="5" t="inlineStr">
        <is>
          <t>wsj.com</t>
        </is>
      </c>
      <c r="C41" s="5" t="n">
        <v>92</v>
      </c>
      <c r="D41" s="5" t="n">
        <v>2</v>
      </c>
      <c r="E41" s="5" t="n">
        <v>2</v>
      </c>
    </row>
    <row r="42">
      <c r="A42" s="5" t="inlineStr">
        <is>
          <t>SC</t>
        </is>
      </c>
      <c r="B42" s="5" t="inlineStr">
        <is>
          <t>businessinsider.com</t>
        </is>
      </c>
      <c r="C42" s="5" t="n">
        <v>92</v>
      </c>
      <c r="D42" s="5" t="n">
        <v>7</v>
      </c>
      <c r="E42" s="5" t="n">
        <v>1</v>
      </c>
    </row>
    <row r="43">
      <c r="A43" s="5" t="inlineStr">
        <is>
          <t>SC</t>
        </is>
      </c>
      <c r="B43" s="5" t="inlineStr">
        <is>
          <t>bloomberg.com</t>
        </is>
      </c>
      <c r="C43" s="5" t="n">
        <v>92</v>
      </c>
      <c r="D43" s="5" t="n">
        <v>7</v>
      </c>
      <c r="E43" s="5" t="n">
        <v>7</v>
      </c>
    </row>
    <row r="44">
      <c r="A44" s="5" t="inlineStr">
        <is>
          <t>SC</t>
        </is>
      </c>
      <c r="B44" s="5" t="inlineStr">
        <is>
          <t>huffpost.com</t>
        </is>
      </c>
      <c r="C44" s="5" t="n">
        <v>92</v>
      </c>
      <c r="D44" s="5" t="n">
        <v>2</v>
      </c>
      <c r="E44" s="5" t="n">
        <v>2</v>
      </c>
    </row>
    <row r="45">
      <c r="A45" s="5" t="inlineStr">
        <is>
          <t>SC</t>
        </is>
      </c>
      <c r="B45" s="5" t="inlineStr">
        <is>
          <t>telegraph.co.uk</t>
        </is>
      </c>
      <c r="C45" s="5" t="n">
        <v>91</v>
      </c>
      <c r="D45" s="5" t="n">
        <v>12</v>
      </c>
      <c r="E45" s="5" t="n">
        <v>0</v>
      </c>
    </row>
    <row r="46">
      <c r="A46" s="5" t="inlineStr">
        <is>
          <t>SC</t>
        </is>
      </c>
      <c r="B46" s="5" t="inlineStr">
        <is>
          <t>vogue.com</t>
        </is>
      </c>
      <c r="C46" s="5" t="n">
        <v>91</v>
      </c>
      <c r="D46" s="5" t="n">
        <v>4</v>
      </c>
      <c r="E46" s="5" t="n">
        <v>0</v>
      </c>
    </row>
    <row r="47">
      <c r="A47" s="5" t="inlineStr">
        <is>
          <t>SC</t>
        </is>
      </c>
      <c r="B47" s="5" t="inlineStr">
        <is>
          <t>thetimes.com</t>
        </is>
      </c>
      <c r="C47" s="5" t="n">
        <v>91</v>
      </c>
      <c r="D47" s="5" t="n">
        <v>4</v>
      </c>
      <c r="E47" s="5" t="n">
        <v>4</v>
      </c>
    </row>
    <row r="48">
      <c r="A48" s="5" t="inlineStr">
        <is>
          <t>SC</t>
        </is>
      </c>
      <c r="B48" s="5" t="inlineStr">
        <is>
          <t>crunchbase.com</t>
        </is>
      </c>
      <c r="C48" s="5" t="n">
        <v>91</v>
      </c>
      <c r="D48" s="5" t="n">
        <v>5</v>
      </c>
      <c r="E48" s="5" t="n">
        <v>0</v>
      </c>
    </row>
    <row r="49">
      <c r="A49" s="5" t="inlineStr">
        <is>
          <t>SC</t>
        </is>
      </c>
      <c r="B49" s="5" t="inlineStr">
        <is>
          <t>glassdoor.com</t>
        </is>
      </c>
      <c r="C49" s="5" t="n">
        <v>91</v>
      </c>
      <c r="D49" s="5" t="n">
        <v>1</v>
      </c>
      <c r="E49" s="5" t="n">
        <v>0</v>
      </c>
    </row>
    <row r="50">
      <c r="A50" s="5" t="inlineStr">
        <is>
          <t>SC</t>
        </is>
      </c>
      <c r="B50" s="5" t="inlineStr">
        <is>
          <t>hollywoodreporter.com</t>
        </is>
      </c>
      <c r="C50" s="5" t="n">
        <v>90</v>
      </c>
      <c r="D50" s="5" t="n">
        <v>19</v>
      </c>
      <c r="E50" s="5" t="n">
        <v>7</v>
      </c>
    </row>
    <row r="51">
      <c r="A51" s="5" t="inlineStr">
        <is>
          <t>SC</t>
        </is>
      </c>
      <c r="B51" s="5" t="inlineStr">
        <is>
          <t>huffingtonpost.co.uk</t>
        </is>
      </c>
      <c r="C51" s="5" t="n">
        <v>90</v>
      </c>
      <c r="D51" s="5" t="n">
        <v>2</v>
      </c>
      <c r="E51" s="5" t="n">
        <v>2</v>
      </c>
    </row>
    <row r="52">
      <c r="A52" s="5" t="inlineStr">
        <is>
          <t>SC</t>
        </is>
      </c>
      <c r="B52" s="5" t="inlineStr">
        <is>
          <t>thetimes.co.uk</t>
        </is>
      </c>
      <c r="C52" s="5" t="n">
        <v>90</v>
      </c>
      <c r="D52" s="5" t="n">
        <v>2</v>
      </c>
      <c r="E52" s="5" t="n">
        <v>2</v>
      </c>
    </row>
    <row r="53">
      <c r="A53" s="5" t="inlineStr">
        <is>
          <t>SC</t>
        </is>
      </c>
      <c r="B53" s="5" t="inlineStr">
        <is>
          <t>qz.com</t>
        </is>
      </c>
      <c r="C53" s="5" t="n">
        <v>90</v>
      </c>
      <c r="D53" s="5" t="n">
        <v>348</v>
      </c>
      <c r="E53" s="5" t="n">
        <v>348</v>
      </c>
    </row>
    <row r="54">
      <c r="A54" s="5" t="inlineStr">
        <is>
          <t>SC</t>
        </is>
      </c>
      <c r="B54" s="5" t="inlineStr">
        <is>
          <t>nymag.com</t>
        </is>
      </c>
      <c r="C54" s="5" t="n">
        <v>90</v>
      </c>
      <c r="D54" s="5" t="n">
        <v>1</v>
      </c>
      <c r="E54" s="5" t="n">
        <v>1</v>
      </c>
    </row>
    <row r="55">
      <c r="A55" s="5" t="inlineStr">
        <is>
          <t>SC</t>
        </is>
      </c>
      <c r="B55" s="5" t="inlineStr">
        <is>
          <t>harpersbazaar.com</t>
        </is>
      </c>
      <c r="C55" s="5" t="n">
        <v>89</v>
      </c>
      <c r="D55" s="5" t="n">
        <v>17</v>
      </c>
      <c r="E55" s="5" t="n">
        <v>17</v>
      </c>
    </row>
    <row r="56">
      <c r="A56" s="5" t="inlineStr">
        <is>
          <t>SC</t>
        </is>
      </c>
      <c r="B56" s="5" t="inlineStr">
        <is>
          <t>travelandleisure.com</t>
        </is>
      </c>
      <c r="C56" s="5" t="n">
        <v>89</v>
      </c>
      <c r="D56" s="5" t="n">
        <v>1</v>
      </c>
      <c r="E56" s="5" t="n">
        <v>0</v>
      </c>
    </row>
    <row r="57">
      <c r="A57" s="5" t="inlineStr">
        <is>
          <t>SC</t>
        </is>
      </c>
      <c r="B57" s="5" t="inlineStr">
        <is>
          <t>barrons.com</t>
        </is>
      </c>
      <c r="C57" s="5" t="n">
        <v>89</v>
      </c>
      <c r="D57" s="5" t="n">
        <v>1</v>
      </c>
      <c r="E57" s="5" t="n">
        <v>1</v>
      </c>
    </row>
    <row r="58">
      <c r="A58" s="5" t="inlineStr">
        <is>
          <t>SC</t>
        </is>
      </c>
      <c r="B58" s="5" t="inlineStr">
        <is>
          <t>refinery29.com</t>
        </is>
      </c>
      <c r="C58" s="5" t="n">
        <v>88</v>
      </c>
      <c r="D58" s="5" t="n">
        <v>10</v>
      </c>
      <c r="E58" s="5" t="n">
        <v>0</v>
      </c>
    </row>
    <row r="59">
      <c r="A59" s="5" t="inlineStr">
        <is>
          <t>SC</t>
        </is>
      </c>
      <c r="B59" s="5" t="inlineStr">
        <is>
          <t>insider.com</t>
        </is>
      </c>
      <c r="C59" s="5" t="n">
        <v>88</v>
      </c>
      <c r="D59" s="5" t="n">
        <v>3</v>
      </c>
      <c r="E59" s="5" t="n">
        <v>1</v>
      </c>
    </row>
    <row r="60">
      <c r="A60" s="5" t="inlineStr">
        <is>
          <t>SC</t>
        </is>
      </c>
      <c r="B60" s="5" t="inlineStr">
        <is>
          <t>esquire.com</t>
        </is>
      </c>
      <c r="C60" s="5" t="n">
        <v>87</v>
      </c>
      <c r="D60" s="5" t="n">
        <v>1</v>
      </c>
      <c r="E60" s="5" t="n">
        <v>0</v>
      </c>
    </row>
    <row r="61">
      <c r="A61" s="5" t="inlineStr">
        <is>
          <t>SC</t>
        </is>
      </c>
      <c r="B61" s="5" t="inlineStr">
        <is>
          <t>afr.com</t>
        </is>
      </c>
      <c r="C61" s="5" t="n">
        <v>87</v>
      </c>
      <c r="D61" s="5" t="n">
        <v>3</v>
      </c>
      <c r="E61" s="5" t="n">
        <v>3</v>
      </c>
    </row>
    <row r="63">
      <c r="A63" s="8" t="inlineStr">
        <is>
          <t>KC dofollow links in list</t>
        </is>
      </c>
      <c r="D63">
        <f>SUMIF(A3:A61,"KC",E3:E61)</f>
        <v/>
      </c>
    </row>
    <row r="64">
      <c r="A64" s="8" t="inlineStr">
        <is>
          <t>SC dofollow links in list</t>
        </is>
      </c>
      <c r="D64">
        <f>SUMIF(A3:A61,"SC",E3:E61)</f>
        <v/>
      </c>
    </row>
  </sheetData>
  <autoFilter ref="A2:E61"/>
  <mergeCells count="1">
    <mergeCell ref="A1:E1"/>
  </mergeCell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F26"/>
  <sheetViews>
    <sheetView workbookViewId="0">
      <pane ySplit="2" topLeftCell="A3" activePane="bottomLeft" state="frozen"/>
      <selection pane="bottomLeft" activeCell="A1" sqref="A1"/>
    </sheetView>
  </sheetViews>
  <sheetFormatPr baseColWidth="8" defaultRowHeight="15"/>
  <cols>
    <col width="8" customWidth="1" min="1" max="1"/>
    <col width="30" customWidth="1" min="2" max="2"/>
    <col width="14" customWidth="1" min="3" max="3"/>
    <col width="14" customWidth="1" min="4" max="4"/>
    <col width="14" customWidth="1" min="5" max="5"/>
    <col width="8" customWidth="1" min="6" max="6"/>
  </cols>
  <sheetData>
    <row r="1" ht="30" customHeight="1">
      <c r="A1" s="3" t="inlineStr">
        <is>
          <t>Ahrefs organic competitors for knightsbridgecircle.com. In the US the real competitor set is Quintessentially, Sienna Charles, Nightfall Group and the listicle publishers (Tatler, JustLuxe). In GB the overlap is mostly venue-lookup sites (Oswald's, 5 Hertford Street, Capital A List), which confirms that most GB traffic is access-page traffic rather than concierge intent.</t>
        </is>
      </c>
    </row>
    <row r="2">
      <c r="A2" s="4" t="inlineStr">
        <is>
          <t>Market</t>
        </is>
      </c>
      <c r="B2" s="4" t="inlineStr">
        <is>
          <t>Domain</t>
        </is>
      </c>
      <c r="C2" s="4" t="inlineStr">
        <is>
          <t>Keywords in common with KC</t>
        </is>
      </c>
      <c r="D2" s="4" t="inlineStr">
        <is>
          <t>Competitor keywords</t>
        </is>
      </c>
      <c r="E2" s="4" t="inlineStr">
        <is>
          <t>Competitor traffic</t>
        </is>
      </c>
      <c r="F2" s="4" t="inlineStr">
        <is>
          <t>DR</t>
        </is>
      </c>
    </row>
    <row r="3">
      <c r="A3" s="5" t="inlineStr">
        <is>
          <t>US</t>
        </is>
      </c>
      <c r="B3" s="5" t="inlineStr">
        <is>
          <t>quintessentially.com</t>
        </is>
      </c>
      <c r="C3" s="11" t="n">
        <v>48</v>
      </c>
      <c r="D3" s="11" t="n">
        <v>481</v>
      </c>
      <c r="E3" s="11" t="n">
        <v>5947</v>
      </c>
      <c r="F3" s="5" t="n">
        <v>65</v>
      </c>
    </row>
    <row r="4">
      <c r="A4" s="5" t="inlineStr">
        <is>
          <t>US</t>
        </is>
      </c>
      <c r="B4" s="5" t="inlineStr">
        <is>
          <t>siennacharles.com</t>
        </is>
      </c>
      <c r="C4" s="11" t="n">
        <v>27</v>
      </c>
      <c r="D4" s="11" t="n">
        <v>170</v>
      </c>
      <c r="E4" s="11" t="n">
        <v>1957</v>
      </c>
      <c r="F4" s="5" t="n">
        <v>37</v>
      </c>
    </row>
    <row r="5">
      <c r="A5" s="5" t="inlineStr">
        <is>
          <t>US</t>
        </is>
      </c>
      <c r="B5" s="5" t="inlineStr">
        <is>
          <t>tatler.com</t>
        </is>
      </c>
      <c r="C5" s="11" t="n">
        <v>18</v>
      </c>
      <c r="D5" s="11" t="n">
        <v>9382</v>
      </c>
      <c r="E5" s="11" t="n">
        <v>33138</v>
      </c>
      <c r="F5" s="5" t="n">
        <v>78</v>
      </c>
    </row>
    <row r="6">
      <c r="A6" s="5" t="inlineStr">
        <is>
          <t>US</t>
        </is>
      </c>
      <c r="B6" s="5" t="inlineStr">
        <is>
          <t>justluxe.com</t>
        </is>
      </c>
      <c r="C6" s="11" t="n">
        <v>15</v>
      </c>
      <c r="D6" s="11" t="n">
        <v>1645</v>
      </c>
      <c r="E6" s="11" t="n">
        <v>4100</v>
      </c>
      <c r="F6" s="5" t="n">
        <v>72</v>
      </c>
    </row>
    <row r="7">
      <c r="A7" s="5" t="inlineStr">
        <is>
          <t>US</t>
        </is>
      </c>
      <c r="B7" s="5" t="inlineStr">
        <is>
          <t>nightfallgroup.com</t>
        </is>
      </c>
      <c r="C7" s="11" t="n">
        <v>14</v>
      </c>
      <c r="D7" s="11" t="n">
        <v>820</v>
      </c>
      <c r="E7" s="11" t="n">
        <v>4899</v>
      </c>
      <c r="F7" s="5" t="n">
        <v>32</v>
      </c>
    </row>
    <row r="8">
      <c r="A8" s="5" t="inlineStr">
        <is>
          <t>US</t>
        </is>
      </c>
      <c r="B8" s="5" t="inlineStr">
        <is>
          <t>oswaldsclub.com</t>
        </is>
      </c>
      <c r="C8" s="11" t="n">
        <v>9</v>
      </c>
      <c r="D8" s="11" t="n">
        <v>3</v>
      </c>
      <c r="E8" s="11" t="n">
        <v>166</v>
      </c>
      <c r="F8" s="5" t="n">
        <v>20</v>
      </c>
    </row>
    <row r="9">
      <c r="A9" s="5" t="inlineStr">
        <is>
          <t>US</t>
        </is>
      </c>
      <c r="B9" s="5" t="inlineStr">
        <is>
          <t>conciergeservicesmiami.com</t>
        </is>
      </c>
      <c r="C9" s="11" t="n">
        <v>9</v>
      </c>
      <c r="D9" s="11" t="n">
        <v>3</v>
      </c>
      <c r="E9" s="11" t="n">
        <v>227</v>
      </c>
      <c r="F9" s="5" t="n">
        <v>0.4</v>
      </c>
    </row>
    <row r="10">
      <c r="A10" s="5" t="inlineStr">
        <is>
          <t>US</t>
        </is>
      </c>
      <c r="B10" s="5" t="inlineStr">
        <is>
          <t>thelist.com</t>
        </is>
      </c>
      <c r="C10" s="11" t="n">
        <v>9</v>
      </c>
      <c r="D10" s="11" t="n">
        <v>50550</v>
      </c>
      <c r="E10" s="11" t="n">
        <v>175591</v>
      </c>
      <c r="F10" s="5" t="n">
        <v>75</v>
      </c>
    </row>
    <row r="11">
      <c r="A11" s="5" t="inlineStr">
        <is>
          <t>US</t>
        </is>
      </c>
      <c r="B11" s="5" t="inlineStr">
        <is>
          <t>compozure.co</t>
        </is>
      </c>
      <c r="C11" s="11" t="n">
        <v>9</v>
      </c>
      <c r="D11" s="11" t="n">
        <v>48</v>
      </c>
      <c r="E11" s="11" t="n">
        <v>492</v>
      </c>
      <c r="F11" s="5" t="n">
        <v>4.3</v>
      </c>
    </row>
    <row r="12">
      <c r="A12" s="5" t="inlineStr">
        <is>
          <t>US</t>
        </is>
      </c>
      <c r="B12" s="5" t="inlineStr">
        <is>
          <t>capitalalist.com</t>
        </is>
      </c>
      <c r="C12" s="11" t="n">
        <v>9</v>
      </c>
      <c r="D12" s="11" t="n">
        <v>132</v>
      </c>
      <c r="E12" s="11" t="n">
        <v>116</v>
      </c>
      <c r="F12" s="5" t="n">
        <v>28</v>
      </c>
    </row>
    <row r="13">
      <c r="A13" s="5" t="inlineStr">
        <is>
          <t>US</t>
        </is>
      </c>
      <c r="B13" s="5" t="inlineStr">
        <is>
          <t>thegentlemansjournal.com</t>
        </is>
      </c>
      <c r="C13" s="11" t="n">
        <v>8</v>
      </c>
      <c r="D13" s="11" t="n">
        <v>9420</v>
      </c>
      <c r="E13" s="11" t="n">
        <v>33510</v>
      </c>
      <c r="F13" s="5" t="n">
        <v>72</v>
      </c>
    </row>
    <row r="14">
      <c r="A14" s="5" t="inlineStr">
        <is>
          <t>US</t>
        </is>
      </c>
      <c r="B14" s="5" t="inlineStr">
        <is>
          <t>spearswms.com</t>
        </is>
      </c>
      <c r="C14" s="11" t="n">
        <v>8</v>
      </c>
      <c r="D14" s="11" t="n">
        <v>2292</v>
      </c>
      <c r="E14" s="11" t="n">
        <v>8069</v>
      </c>
      <c r="F14" s="5" t="n">
        <v>72</v>
      </c>
    </row>
    <row r="15">
      <c r="A15" s="5" t="inlineStr">
        <is>
          <t>GB</t>
        </is>
      </c>
      <c r="B15" s="5" t="inlineStr">
        <is>
          <t>capitalalist.com</t>
        </is>
      </c>
      <c r="C15" s="11" t="n">
        <v>44</v>
      </c>
      <c r="D15" s="11" t="n">
        <v>1487</v>
      </c>
      <c r="E15" s="11" t="n">
        <v>5938</v>
      </c>
      <c r="F15" s="5" t="n">
        <v>28</v>
      </c>
    </row>
    <row r="16">
      <c r="A16" s="5" t="inlineStr">
        <is>
          <t>GB</t>
        </is>
      </c>
      <c r="B16" s="5" t="inlineStr">
        <is>
          <t>oswaldsclub.com</t>
        </is>
      </c>
      <c r="C16" s="11" t="n">
        <v>35</v>
      </c>
      <c r="D16" s="11" t="n">
        <v>1</v>
      </c>
      <c r="E16" s="11" t="n">
        <v>2120</v>
      </c>
      <c r="F16" s="5" t="n">
        <v>20</v>
      </c>
    </row>
    <row r="17">
      <c r="A17" s="5" t="inlineStr">
        <is>
          <t>GB</t>
        </is>
      </c>
      <c r="B17" s="5" t="inlineStr">
        <is>
          <t>tatler.com</t>
        </is>
      </c>
      <c r="C17" s="11" t="n">
        <v>35</v>
      </c>
      <c r="D17" s="11" t="n">
        <v>9126</v>
      </c>
      <c r="E17" s="11" t="n">
        <v>44016</v>
      </c>
      <c r="F17" s="5" t="n">
        <v>78</v>
      </c>
    </row>
    <row r="18">
      <c r="A18" s="5" t="inlineStr">
        <is>
          <t>GB</t>
        </is>
      </c>
      <c r="B18" s="5" t="inlineStr">
        <is>
          <t>vendomtalents.com</t>
        </is>
      </c>
      <c r="C18" s="11" t="n">
        <v>33</v>
      </c>
      <c r="D18" s="11" t="n">
        <v>18</v>
      </c>
      <c r="E18" s="11" t="n">
        <v>171</v>
      </c>
      <c r="F18" s="5" t="n">
        <v>36</v>
      </c>
    </row>
    <row r="19">
      <c r="A19" s="5" t="inlineStr">
        <is>
          <t>GB</t>
        </is>
      </c>
      <c r="B19" s="5" t="inlineStr">
        <is>
          <t>linkedin.com</t>
        </is>
      </c>
      <c r="C19" s="11" t="n">
        <v>33</v>
      </c>
      <c r="D19" s="11" t="n">
        <v>891494</v>
      </c>
      <c r="E19" s="11" t="n">
        <v>6752853</v>
      </c>
      <c r="F19" s="5" t="n">
        <v>99</v>
      </c>
    </row>
    <row r="20">
      <c r="A20" s="5" t="inlineStr">
        <is>
          <t>GB</t>
        </is>
      </c>
      <c r="B20" s="5" t="inlineStr">
        <is>
          <t>5hertfordstreet.com</t>
        </is>
      </c>
      <c r="C20" s="11" t="n">
        <v>25</v>
      </c>
      <c r="D20" s="11" t="n">
        <v>34</v>
      </c>
      <c r="E20" s="11" t="n">
        <v>3989</v>
      </c>
      <c r="F20" s="5" t="n">
        <v>37</v>
      </c>
    </row>
    <row r="21">
      <c r="A21" s="5" t="inlineStr">
        <is>
          <t>GB</t>
        </is>
      </c>
      <c r="B21" s="5" t="inlineStr">
        <is>
          <t>thegentlemansjournal.com</t>
        </is>
      </c>
      <c r="C21" s="11" t="n">
        <v>23</v>
      </c>
      <c r="D21" s="11" t="n">
        <v>4268</v>
      </c>
      <c r="E21" s="11" t="n">
        <v>18375</v>
      </c>
      <c r="F21" s="5" t="n">
        <v>72</v>
      </c>
    </row>
    <row r="22">
      <c r="A22" s="5" t="inlineStr">
        <is>
          <t>GB</t>
        </is>
      </c>
      <c r="B22" s="5" t="inlineStr">
        <is>
          <t>luxurylondon.co.uk</t>
        </is>
      </c>
      <c r="C22" s="11" t="n">
        <v>18</v>
      </c>
      <c r="D22" s="11" t="n">
        <v>5485</v>
      </c>
      <c r="E22" s="11" t="n">
        <v>35849</v>
      </c>
      <c r="F22" s="5" t="n">
        <v>69</v>
      </c>
    </row>
    <row r="23">
      <c r="A23" s="5" t="inlineStr">
        <is>
          <t>GB</t>
        </is>
      </c>
      <c r="B23" s="5" t="inlineStr">
        <is>
          <t>spearswms.com</t>
        </is>
      </c>
      <c r="C23" s="11" t="n">
        <v>18</v>
      </c>
      <c r="D23" s="11" t="n">
        <v>2567</v>
      </c>
      <c r="E23" s="11" t="n">
        <v>12700</v>
      </c>
      <c r="F23" s="5" t="n">
        <v>72</v>
      </c>
    </row>
    <row r="24">
      <c r="A24" s="5" t="inlineStr">
        <is>
          <t>GB</t>
        </is>
      </c>
      <c r="B24" s="5" t="inlineStr">
        <is>
          <t>privilege-entertainment.com</t>
        </is>
      </c>
      <c r="C24" s="11" t="n">
        <v>13</v>
      </c>
      <c r="D24" s="11" t="n">
        <v>993</v>
      </c>
      <c r="E24" s="11" t="n">
        <v>6000</v>
      </c>
      <c r="F24" s="5" t="n">
        <v>15</v>
      </c>
    </row>
    <row r="25">
      <c r="A25" s="5" t="inlineStr">
        <is>
          <t>GB</t>
        </is>
      </c>
      <c r="B25" s="5" t="inlineStr">
        <is>
          <t>48london.com</t>
        </is>
      </c>
      <c r="C25" s="11" t="n">
        <v>12</v>
      </c>
      <c r="D25" s="11" t="n">
        <v>18</v>
      </c>
      <c r="E25" s="11" t="n">
        <v>601</v>
      </c>
      <c r="F25" s="5" t="n">
        <v>2.7</v>
      </c>
    </row>
    <row r="26">
      <c r="A26" s="5" t="inlineStr">
        <is>
          <t>GB</t>
        </is>
      </c>
      <c r="B26" s="5" t="inlineStr">
        <is>
          <t>mayfair-london.co.uk</t>
        </is>
      </c>
      <c r="C26" s="11" t="n">
        <v>11</v>
      </c>
      <c r="D26" s="11" t="n">
        <v>1260</v>
      </c>
      <c r="E26" s="11" t="n">
        <v>8985</v>
      </c>
      <c r="F26" s="5" t="n">
        <v>69</v>
      </c>
    </row>
  </sheetData>
  <autoFilter ref="A2:F26"/>
  <mergeCells count="1">
    <mergeCell ref="A1:F1"/>
  </mergeCells>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E28"/>
  <sheetViews>
    <sheetView workbookViewId="0">
      <pane ySplit="2" topLeftCell="A3" activePane="bottomLeft" state="frozen"/>
      <selection pane="bottomLeft" activeCell="A1" sqref="A1"/>
    </sheetView>
  </sheetViews>
  <sheetFormatPr baseColWidth="8" defaultRowHeight="15"/>
  <cols>
    <col width="44" customWidth="1" min="1" max="1"/>
    <col width="40" customWidth="1" min="2" max="2"/>
    <col width="40" customWidth="1" min="3" max="3"/>
    <col width="44" customWidth="1" min="4" max="4"/>
    <col width="10" customWidth="1" min="5" max="5"/>
  </cols>
  <sheetData>
    <row r="1" ht="32" customHeight="1">
      <c r="A1" s="3" t="inlineStr">
        <is>
          <t>Ahrefs site-explorer ai-responses-count, 2 Sep 2026. Counts are citation links to each domain in AI-generated answers across Ahrefs' prompt corpus. Brand Radar (prompt-level detail) is not on this Ahrefs plan; a manual prompt panel is recommended (see Recommendations).</t>
        </is>
      </c>
    </row>
    <row r="2">
      <c r="A2" s="18" t="inlineStr">
        <is>
          <t>Platform</t>
        </is>
      </c>
      <c r="B2" s="18" t="inlineStr">
        <is>
          <t>KC citations</t>
        </is>
      </c>
      <c r="C2" s="18" t="inlineStr">
        <is>
          <t>SC citations</t>
        </is>
      </c>
      <c r="D2" s="18" t="inlineStr">
        <is>
          <t>SC : KC</t>
        </is>
      </c>
      <c r="E2" s="18" t="inlineStr">
        <is>
          <t>Gap</t>
        </is>
      </c>
    </row>
    <row r="3">
      <c r="A3" s="19" t="inlineStr">
        <is>
          <t>All platforms (citation links)</t>
        </is>
      </c>
      <c r="B3" s="19" t="n">
        <v>60</v>
      </c>
      <c r="C3" s="19" t="n">
        <v>122</v>
      </c>
      <c r="D3" s="20">
        <f>IF(B3=0,"n/a",C3/B3)</f>
        <v/>
      </c>
      <c r="E3" s="21">
        <f>C3-B3</f>
        <v/>
      </c>
    </row>
    <row r="4">
      <c r="A4" s="19" t="inlineStr">
        <is>
          <t>All platforms (distinct pages cited)</t>
        </is>
      </c>
      <c r="B4" s="19" t="n">
        <v>20</v>
      </c>
      <c r="C4" s="19" t="n">
        <v>41</v>
      </c>
      <c r="D4" s="20">
        <f>IF(B4=0,"n/a",C4/B4)</f>
        <v/>
      </c>
      <c r="E4" s="21">
        <f>C4-B4</f>
        <v/>
      </c>
    </row>
    <row r="5">
      <c r="A5" s="19" t="inlineStr">
        <is>
          <t>ChatGPT</t>
        </is>
      </c>
      <c r="B5" s="19" t="n">
        <v>5</v>
      </c>
      <c r="C5" s="19" t="n">
        <v>7</v>
      </c>
      <c r="D5" s="20">
        <f>IF(B5=0,"n/a",C5/B5)</f>
        <v/>
      </c>
      <c r="E5" s="21">
        <f>C5-B5</f>
        <v/>
      </c>
    </row>
    <row r="6">
      <c r="A6" s="19" t="inlineStr">
        <is>
          <t>Perplexity</t>
        </is>
      </c>
      <c r="B6" s="19" t="n">
        <v>12</v>
      </c>
      <c r="C6" s="19" t="n">
        <v>17</v>
      </c>
      <c r="D6" s="20">
        <f>IF(B6=0,"n/a",C6/B6)</f>
        <v/>
      </c>
      <c r="E6" s="21">
        <f>C6-B6</f>
        <v/>
      </c>
    </row>
    <row r="7">
      <c r="A7" s="19" t="inlineStr">
        <is>
          <t>Gemini</t>
        </is>
      </c>
      <c r="B7" s="19" t="n">
        <v>4</v>
      </c>
      <c r="C7" s="19" t="n">
        <v>16</v>
      </c>
      <c r="D7" s="20">
        <f>IF(B7=0,"n/a",C7/B7)</f>
        <v/>
      </c>
      <c r="E7" s="21">
        <f>C7-B7</f>
        <v/>
      </c>
    </row>
    <row r="8">
      <c r="A8" s="19" t="inlineStr">
        <is>
          <t>Copilot</t>
        </is>
      </c>
      <c r="B8" s="19" t="n">
        <v>1</v>
      </c>
      <c r="C8" s="19" t="n">
        <v>2</v>
      </c>
      <c r="D8" s="20">
        <f>IF(B8=0,"n/a",C8/B8)</f>
        <v/>
      </c>
      <c r="E8" s="21">
        <f>C8-B8</f>
        <v/>
      </c>
    </row>
    <row r="9">
      <c r="A9" s="19" t="inlineStr">
        <is>
          <t>Google AI Overviews</t>
        </is>
      </c>
      <c r="B9" s="19" t="n">
        <v>2</v>
      </c>
      <c r="C9" s="19" t="n">
        <v>13</v>
      </c>
      <c r="D9" s="20">
        <f>IF(B9=0,"n/a",C9/B9)</f>
        <v/>
      </c>
      <c r="E9" s="21">
        <f>C9-B9</f>
        <v/>
      </c>
    </row>
    <row r="10">
      <c r="A10" s="19" t="inlineStr">
        <is>
          <t>Google AI Mode</t>
        </is>
      </c>
      <c r="B10" s="19" t="n">
        <v>5</v>
      </c>
      <c r="C10" s="19" t="n">
        <v>25</v>
      </c>
      <c r="D10" s="20">
        <f>IF(B10=0,"n/a",C10/B10)</f>
        <v/>
      </c>
      <c r="E10" s="21">
        <f>C10-B10</f>
        <v/>
      </c>
    </row>
    <row r="11">
      <c r="A11" s="19" t="inlineStr">
        <is>
          <t>Grok</t>
        </is>
      </c>
      <c r="B11" s="19" t="n">
        <v>0</v>
      </c>
      <c r="C11" s="19" t="n">
        <v>0</v>
      </c>
      <c r="D11" s="20">
        <f>IF(B11=0,"n/a",C11/B11)</f>
        <v/>
      </c>
      <c r="E11" s="21">
        <f>C11-B11</f>
        <v/>
      </c>
    </row>
    <row r="13">
      <c r="A13" s="8" t="inlineStr">
        <is>
          <t>AI answer ingredients scorecard</t>
        </is>
      </c>
    </row>
    <row r="14">
      <c r="A14" s="18" t="inlineStr">
        <is>
          <t>Ingredient</t>
        </is>
      </c>
      <c r="B14" s="18" t="inlineStr">
        <is>
          <t>Knightsbridge Circle</t>
        </is>
      </c>
      <c r="C14" s="18" t="inlineStr">
        <is>
          <t>Sienna Charles</t>
        </is>
      </c>
      <c r="D14" s="18" t="inlineStr">
        <is>
          <t>Why it matters</t>
        </is>
      </c>
    </row>
    <row r="15">
      <c r="A15" s="5" t="inlineStr">
        <is>
          <t>Entity home: about + founder page</t>
        </is>
      </c>
      <c r="B15" s="22" t="inlineStr">
        <is>
          <t>No (/about 404)</t>
        </is>
      </c>
      <c r="C15" s="5" t="inlineStr">
        <is>
          <t>Yes (/about/our-founder ranks #3 for founder name)</t>
        </is>
      </c>
      <c r="D15" s="5" t="inlineStr">
        <is>
          <t>AI answers resolve brands to people and pages</t>
        </is>
      </c>
    </row>
    <row r="16">
      <c r="A16" s="5" t="inlineStr">
        <is>
          <t>Pricing transparency page</t>
        </is>
      </c>
      <c r="B16" s="5" t="inlineStr">
        <is>
          <t>Yes (pricing blog, 15 FAQs)</t>
        </is>
      </c>
      <c r="C16" s="5" t="inlineStr">
        <is>
          <t>No on-site price; press says $150k</t>
        </is>
      </c>
      <c r="D16" s="5" t="inlineStr">
        <is>
          <t>'how much does X cost' is the #1 AI prompt pattern</t>
        </is>
      </c>
    </row>
    <row r="17">
      <c r="A17" s="5" t="inlineStr">
        <is>
          <t>Membership / how it works page</t>
        </is>
      </c>
      <c r="B17" s="22" t="inlineStr">
        <is>
          <t>Partial (apply form only)</t>
        </is>
      </c>
      <c r="C17" s="5" t="inlineStr">
        <is>
          <t>Yes (/membership, /become-a-member)</t>
        </is>
      </c>
      <c r="D17" s="5" t="inlineStr"/>
    </row>
    <row r="18">
      <c r="A18" s="5" t="inlineStr">
        <is>
          <t>Press page listing coverage</t>
        </is>
      </c>
      <c r="B18" s="22" t="inlineStr">
        <is>
          <t>No</t>
        </is>
      </c>
      <c r="C18" s="5" t="inlineStr">
        <is>
          <t>Yes (/press: Vogue, WSJ, BBC)</t>
        </is>
      </c>
      <c r="D18" s="5" t="inlineStr">
        <is>
          <t>Third-party validation AI models cite</t>
        </is>
      </c>
    </row>
    <row r="19">
      <c r="A19" s="5" t="inlineStr">
        <is>
          <t>Wikipedia presence</t>
        </is>
      </c>
      <c r="B19" s="5" t="inlineStr">
        <is>
          <t>Company: no. Wikipedia links to KC since Aug 2026 (likely a list article)</t>
        </is>
      </c>
      <c r="C19" s="5" t="inlineStr">
        <is>
          <t>Founder has a Wikipedia page</t>
        </is>
      </c>
      <c r="D19" s="5" t="inlineStr">
        <is>
          <t>Strong entity signal for LLMs</t>
        </is>
      </c>
    </row>
    <row r="20">
      <c r="A20" s="5" t="inlineStr">
        <is>
          <t>Best-of listicle inclusion</t>
        </is>
      </c>
      <c r="B20" s="5" t="inlineStr">
        <is>
          <t>Tatler (Feb 2026), JustLuxe (Jul 2026), Chic Icon (Apr 2026), NYT (Oct 2025), Forbes (2024)</t>
        </is>
      </c>
      <c r="C20" s="5" t="inlineStr">
        <is>
          <t>Tatler, JustLuxe, Chic Icon, Times, Hollywood Reporter, Resident</t>
        </is>
      </c>
      <c r="D20" s="5" t="inlineStr">
        <is>
          <t>Listicles are the primary source for 'best X' answers</t>
        </is>
      </c>
    </row>
    <row r="21">
      <c r="A21" s="5" t="inlineStr">
        <is>
          <t>Comparison content</t>
        </is>
      </c>
      <c r="B21" s="22" t="inlineStr">
        <is>
          <t>None (third party stirlingaccess.com owns 'KC review/compare')</t>
        </is>
      </c>
      <c r="C21" s="5" t="inlineStr">
        <is>
          <t>None</t>
        </is>
      </c>
      <c r="D21" s="5" t="inlineStr">
        <is>
          <t>'X vs Y' prompts have an AI Overview today</t>
        </is>
      </c>
    </row>
    <row r="22">
      <c r="A22" s="5" t="inlineStr">
        <is>
          <t>Reviews / ratings</t>
        </is>
      </c>
      <c r="B22" s="5" t="inlineStr">
        <is>
          <t>GBP 4.2 (29) unclaimed; no Trustpilot</t>
        </is>
      </c>
      <c r="C22" s="5" t="inlineStr">
        <is>
          <t>GBP no rating; Glassdoor 4.1; negative Indeed/Reddit employee reviews</t>
        </is>
      </c>
      <c r="D22" s="5" t="inlineStr">
        <is>
          <t>Reputation ingredient; KC can own this cheaply</t>
        </is>
      </c>
    </row>
    <row r="23">
      <c r="A23" s="5" t="inlineStr">
        <is>
          <t>Structured data</t>
        </is>
      </c>
      <c r="B23" s="5" t="inlineStr">
        <is>
          <t>Organization, WebSite, Person, Article (Yoast defaults)</t>
        </is>
      </c>
      <c r="C23" s="5" t="inlineStr">
        <is>
          <t>Unknown (Cloudflare blocks crawl)</t>
        </is>
      </c>
      <c r="D23" s="5" t="inlineStr">
        <is>
          <t>FAQPage / Service / LocalBusiness missing on KC</t>
        </is>
      </c>
    </row>
    <row r="24">
      <c r="A24" s="5" t="inlineStr">
        <is>
          <t>Citable informational content</t>
        </is>
      </c>
      <c r="B24" s="5" t="inlineStr">
        <is>
          <t>1 post</t>
        </is>
      </c>
      <c r="C24" s="5" t="inlineStr">
        <is>
          <t>Voyage magazine (40% of traffic) + destination guides + experiences subdomain</t>
        </is>
      </c>
      <c r="D24" s="5" t="inlineStr">
        <is>
          <t>Volume of citable pages: SC 41 cited pages vs KC 20</t>
        </is>
      </c>
    </row>
    <row r="25">
      <c r="A25" s="5" t="inlineStr">
        <is>
          <t>Brand search demand</t>
        </is>
      </c>
      <c r="B25" s="5" t="inlineStr">
        <is>
          <t>GB 150 / US 70</t>
        </is>
      </c>
      <c r="C25" s="5" t="inlineStr">
        <is>
          <t>GB 150 / US 600</t>
        </is>
      </c>
      <c r="D25" s="5" t="inlineStr">
        <is>
          <t>AI models weight what people already search for</t>
        </is>
      </c>
    </row>
    <row r="26">
      <c r="A26" s="5" t="inlineStr">
        <is>
          <t>Founder as public expert</t>
        </is>
      </c>
      <c r="B26" s="5" t="inlineStr">
        <is>
          <t>Interviews (Forbes, Beau Monde, YouTube)</t>
        </is>
      </c>
      <c r="C26" s="5" t="inlineStr">
        <is>
          <t>Wikipedia, Substack, Travel Weekly, Forbes columns</t>
        </is>
      </c>
      <c r="D26" s="5" t="inlineStr"/>
    </row>
    <row r="28" ht="60" customHeight="1">
      <c r="A28" s="3" t="inlineStr">
        <is>
          <t>Prompt panel to run monthly (ChatGPT, Gemini, Perplexity, Google AI Mode; US and UK): "best luxury concierge service", "best luxury concierge in London / New York / Miami / Dubai", "Knightsbridge Circle vs Quintessentially", "Knightsbridge Circle vs Sienna Charles", "how much does a luxury concierge membership cost", "what is the most exclusive concierge club", "luxury travel concierge for UHNW families", "family office concierge services". Record: mentioned? cited URL? position in list? sources named.</t>
        </is>
      </c>
    </row>
  </sheetData>
  <mergeCells count="2">
    <mergeCell ref="A28:D28"/>
    <mergeCell ref="A1:E1"/>
  </mergeCells>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D9"/>
  <sheetViews>
    <sheetView workbookViewId="0">
      <pane ySplit="2" topLeftCell="A3" activePane="bottomLeft" state="frozen"/>
      <selection pane="bottomLeft" activeCell="A1" sqref="A1"/>
    </sheetView>
  </sheetViews>
  <sheetFormatPr baseColWidth="8" defaultRowHeight="15"/>
  <cols>
    <col width="26" customWidth="1" min="1" max="1"/>
    <col width="50" customWidth="1" min="2" max="2"/>
    <col width="50" customWidth="1" min="3" max="3"/>
    <col width="40" customWidth="1" min="4" max="4"/>
  </cols>
  <sheetData>
    <row r="1" ht="30" customHeight="1">
      <c r="A1" s="3" t="inlineStr">
        <is>
          <t>LinkedIn public company pages, 2 Sep 2026. Personal profile counts require login; Stuart McNeill's profile returned HTTP 999 to our fetch.</t>
        </is>
      </c>
    </row>
    <row r="2">
      <c r="A2" s="4" t="inlineStr">
        <is>
          <t>Measure</t>
        </is>
      </c>
      <c r="B2" s="4" t="inlineStr">
        <is>
          <t>Knightsbridge Circle</t>
        </is>
      </c>
      <c r="C2" s="4" t="inlineStr">
        <is>
          <t>Sienna Charles</t>
        </is>
      </c>
      <c r="D2" s="4" t="inlineStr">
        <is>
          <t>Note</t>
        </is>
      </c>
    </row>
    <row r="3">
      <c r="A3" s="5" t="inlineStr">
        <is>
          <t>Company followers</t>
        </is>
      </c>
      <c r="B3" s="5" t="inlineStr">
        <is>
          <t>4,737</t>
        </is>
      </c>
      <c r="C3" s="5" t="inlineStr">
        <is>
          <t>30,992</t>
        </is>
      </c>
      <c r="D3" s="5" t="inlineStr">
        <is>
          <t>SC has 6.5x the audience</t>
        </is>
      </c>
    </row>
    <row r="4">
      <c r="A4" s="5" t="inlineStr">
        <is>
          <t>Employees listed</t>
        </is>
      </c>
      <c r="B4" s="5" t="inlineStr">
        <is>
          <t>38</t>
        </is>
      </c>
      <c r="C4" s="5" t="inlineStr">
        <is>
          <t>14</t>
        </is>
      </c>
      <c r="D4" s="5" t="inlineStr">
        <is>
          <t>KC larger team on LinkedIn</t>
        </is>
      </c>
    </row>
    <row r="5">
      <c r="A5" s="5" t="inlineStr">
        <is>
          <t>HQ on profile</t>
        </is>
      </c>
      <c r="B5" s="5" t="inlineStr">
        <is>
          <t>4 Montpelier St, London SW7 (registered office moved to Brighton May 2025)</t>
        </is>
      </c>
      <c r="C5" s="5" t="inlineStr">
        <is>
          <t>Beverly Hills CA; NYC; Palm Beach</t>
        </is>
      </c>
      <c r="D5" s="5" t="inlineStr"/>
    </row>
    <row r="6">
      <c r="A6" s="5" t="inlineStr">
        <is>
          <t>Founded (per profile)</t>
        </is>
      </c>
      <c r="B6" s="5" t="inlineStr">
        <is>
          <t>2012</t>
        </is>
      </c>
      <c r="C6" s="5" t="inlineStr">
        <is>
          <t>2007</t>
        </is>
      </c>
      <c r="D6" s="5" t="inlineStr"/>
    </row>
    <row r="7">
      <c r="A7" s="5" t="inlineStr">
        <is>
          <t>Recent posting cadence</t>
        </is>
      </c>
      <c r="B7" s="5" t="inlineStr">
        <is>
          <t>Weekly-ish: hotel openings (La Reserve Seychelles, Amanvari, Danieli), award congratulations, WSJ share</t>
        </is>
      </c>
      <c r="C7" s="5" t="inlineStr">
        <is>
          <t>Not visible without login; founder posts hiring + press</t>
        </is>
      </c>
      <c r="D7" s="5" t="inlineStr">
        <is>
          <t>KC posts are partner/hotel news, not member-outcome stories</t>
        </is>
      </c>
    </row>
    <row r="8">
      <c r="A8" s="5" t="inlineStr">
        <is>
          <t>Founder profile</t>
        </is>
      </c>
      <c r="B8" s="5" t="inlineStr">
        <is>
          <t>Stuart McNeill: profile exists, follower count not retrievable (LinkedIn 999)</t>
        </is>
      </c>
      <c r="C8" s="5" t="inlineStr">
        <is>
          <t>Jaclyn Sienna India: ~3,000 followers, Wikipedia page, Substack newsletter, Forbes/Bloomberg/Robb Report features</t>
        </is>
      </c>
      <c r="D8" s="5" t="inlineStr">
        <is>
          <t>SC's edge is founder-as-media-entity, not the company page alone</t>
        </is>
      </c>
    </row>
    <row r="9">
      <c r="A9" s="5" t="inlineStr">
        <is>
          <t>Employee advocacy</t>
        </is>
      </c>
      <c r="B9" s="5" t="inlineStr">
        <is>
          <t>Chelsea Martin CTA and others visible</t>
        </is>
      </c>
      <c r="C9" s="5" t="inlineStr">
        <is>
          <t>Jaclyn, Freddy Charles, George Toutoungi, Yian Brown</t>
        </is>
      </c>
      <c r="D9" s="5" t="inlineStr"/>
    </row>
  </sheetData>
  <autoFilter ref="A2:D9"/>
  <mergeCells count="1">
    <mergeCell ref="A1:D1"/>
  </mergeCells>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G13"/>
  <sheetViews>
    <sheetView workbookViewId="0">
      <pane ySplit="1" topLeftCell="A2" activePane="bottomLeft" state="frozen"/>
      <selection pane="bottomLeft" activeCell="A1" sqref="A1"/>
    </sheetView>
  </sheetViews>
  <sheetFormatPr baseColWidth="8" defaultRowHeight="15"/>
  <cols>
    <col width="4" customWidth="1" min="1" max="1"/>
    <col width="34" customWidth="1" min="2" max="2"/>
    <col width="20" customWidth="1" min="3" max="3"/>
    <col width="80" customWidth="1" min="4" max="4"/>
    <col width="14" customWidth="1" min="5" max="5"/>
    <col width="60" customWidth="1" min="6" max="6"/>
    <col width="9" customWidth="1" min="7" max="7"/>
  </cols>
  <sheetData>
    <row r="1">
      <c r="A1" s="4" t="inlineStr">
        <is>
          <t>#</t>
        </is>
      </c>
      <c r="B1" s="4" t="inlineStr">
        <is>
          <t>Recommendation</t>
        </is>
      </c>
      <c r="C1" s="4" t="inlineStr">
        <is>
          <t>Service line</t>
        </is>
      </c>
      <c r="D1" s="4" t="inlineStr">
        <is>
          <t>What</t>
        </is>
      </c>
      <c r="E1" s="4" t="inlineStr">
        <is>
          <t>When</t>
        </is>
      </c>
      <c r="F1" s="4" t="inlineStr">
        <is>
          <t>Why (evidence)</t>
        </is>
      </c>
      <c r="G1" s="4" t="inlineStr">
        <is>
          <t>Priority</t>
        </is>
      </c>
    </row>
    <row r="2">
      <c r="A2" s="14" t="inlineStr">
        <is>
          <t>1</t>
        </is>
      </c>
      <c r="B2" s="14" t="inlineStr">
        <is>
          <t>Fix the foundations (no URL changes)</t>
        </is>
      </c>
      <c r="C2" s="14" t="inlineStr">
        <is>
          <t>SEO (existing retainer)</t>
        </is>
      </c>
      <c r="D2" s="14" t="inlineStr">
        <is>
          <t>Fix London meta description; add meta to travel page; add FAQ + LocalBusiness/Service/FAQPage schema to every location and service page; link every location from the homepage and hub; cross-link access venues to their city page; create /about and /about/stuart-mcneill (currently 404).</t>
        </is>
      </c>
      <c r="E2" s="14" t="inlineStr">
        <is>
          <t>Weeks 1-4</t>
        </is>
      </c>
      <c r="F2" s="14" t="inlineStr">
        <is>
          <t>Protects the Jan-Jul 2026 gains while Google finishes consolidating the July URL move.</t>
        </is>
      </c>
      <c r="G2" s="14" t="inlineStr">
        <is>
          <t>High</t>
        </is>
      </c>
    </row>
    <row r="3">
      <c r="A3" s="14" t="inlineStr">
        <is>
          <t>2</t>
        </is>
      </c>
      <c r="B3" s="14" t="inlineStr">
        <is>
          <t>Own the generic US head terms SC currently holds</t>
        </is>
      </c>
      <c r="C3" s="14" t="inlineStr">
        <is>
          <t>SEO expansion</t>
        </is>
      </c>
      <c r="D3" s="14" t="inlineStr">
        <is>
          <t>Rebuild /locations as the global "luxury concierge service" hub (500 words, city index, schema). Rewrite /luxury-travel-concierge for "luxury travel concierge" (600 US, KD5; SC #1). Build /lifestyle-concierge (or make the hub own "luxury lifestyle concierge", 300 US KD1; SC #3, KC #7 via Dallas). Build /vip-concierge (SC #1 on "vip concierge service").</t>
        </is>
      </c>
      <c r="E3" s="14" t="inlineStr">
        <is>
          <t>Months 1-3</t>
        </is>
      </c>
      <c r="F3" s="14" t="inlineStr">
        <is>
          <t>This is the actual "outranked" gap: 4 service pages on SC hold ~10 head terms worth 2,500+ US searches/month combined; KC has no page targeting any of them.</t>
        </is>
      </c>
      <c r="G3" s="14" t="inlineStr">
        <is>
          <t>High</t>
        </is>
      </c>
    </row>
    <row r="4">
      <c r="A4" s="14" t="inlineStr">
        <is>
          <t>3</t>
        </is>
      </c>
      <c r="B4" s="14" t="inlineStr">
        <is>
          <t>Sector pages nobody owns</t>
        </is>
      </c>
      <c r="C4" s="14" t="inlineStr">
        <is>
          <t>SEO expansion</t>
        </is>
      </c>
      <c r="D4" s="14" t="inlineStr">
        <is>
          <t>/corporate-concierge (corporate concierge services 300 US, KC NY page already #4 by accident), /family-office-concierge (150 US, CPC $9), /sport-entertainment-concierge (ties to the new KC Sport &amp; Entertainment Ltd; F1, Masters, Wimbledon access), /relocation-concierge (150 US / 70 GB). Yacht and jet as access-style pages.</t>
        </is>
      </c>
      <c r="E4" s="14" t="inlineStr">
        <is>
          <t>Months 2-4</t>
        </is>
      </c>
      <c r="F4" s="14" t="inlineStr">
        <is>
          <t>Open demand with KD 0-8 and no incumbent concierge brand; each page is 600-900 words plus FAQ.</t>
        </is>
      </c>
      <c r="G4" s="14" t="inlineStr">
        <is>
          <t>High</t>
        </is>
      </c>
    </row>
    <row r="5">
      <c r="A5" s="14" t="inlineStr">
        <is>
          <t>4</t>
        </is>
      </c>
      <c r="B5" s="14" t="inlineStr">
        <is>
          <t>Global locations: expand where demand exists, stop where it does not</t>
        </is>
      </c>
      <c r="C5" s="14" t="inlineStr">
        <is>
          <t>SEO expansion</t>
        </is>
      </c>
      <c r="D5" s="14" t="inlineStr">
        <is>
          <t>Priority new cities: Paris (60 US / 50 GB + private concierge paris 50), Monaco (50/40), Mykonos (90/140), Cannes (50/40), Aspen (150 US), Las Vegas, Geneva/Zurich (CH luxury travel concierge 150), Milan/Como (IT luxury concierge 600). Strengthen Dubai (AE 150+70) and Singapore (SG 100) with local links and area content. Do not add more zero-demand cities like Amsterdam/Lisbon.</t>
        </is>
      </c>
      <c r="E5" s="14" t="inlineStr">
        <is>
          <t>Months 2-6</t>
        </is>
      </c>
      <c r="F5" s="14" t="inlineStr">
        <is>
          <t>Turns the location programme from "cities KC serves" into "cities buyers search". 8-10 new pages.</t>
        </is>
      </c>
      <c r="G5" s="14" t="inlineStr">
        <is>
          <t>High</t>
        </is>
      </c>
    </row>
    <row r="6">
      <c r="A6" s="14" t="inlineStr">
        <is>
          <t>5</t>
        </is>
      </c>
      <c r="B6" s="14" t="inlineStr">
        <is>
          <t>AI referral content set</t>
        </is>
      </c>
      <c r="C6" s="14" t="inlineStr">
        <is>
          <t>AI visibility</t>
        </is>
      </c>
      <c r="D6" s="14" t="inlineStr">
        <is>
          <t>Pages: Who we are / founder (Person schema, press, Wikipedia link), Who we serve (UHNW families, family offices, executives, athletes), How membership works, How much it costs (upgrade pricing post with FAQPage schema), Knightsbridge Circle vs Quintessentially vs Sienna Charles (honest comparison; the "vs" query already has an AI Overview and a third-party site owns "KC review"), Press page, Reviews/testimonials page. Add Organization sameAs to LinkedIn, Wikipedia, GBP, Crunchbase.</t>
        </is>
      </c>
      <c r="E6" s="14" t="inlineStr">
        <is>
          <t>Months 1-3</t>
        </is>
      </c>
      <c r="F6" s="14" t="inlineStr">
        <is>
          <t>SC is cited 2x as often by AI platforms with 41 pages vs KC 20. AI answers cite entity pages, pricing pages, comparison pages and best-of listicles.</t>
        </is>
      </c>
      <c r="G6" s="14" t="inlineStr">
        <is>
          <t>High</t>
        </is>
      </c>
    </row>
    <row r="7">
      <c r="A7" s="14" t="inlineStr">
        <is>
          <t>6</t>
        </is>
      </c>
      <c r="B7" s="14" t="inlineStr">
        <is>
          <t>Claim and build the Google Business Profile</t>
        </is>
      </c>
      <c r="C7" s="14" t="inlineStr">
        <is>
          <t>AI visibility / local</t>
        </is>
      </c>
      <c r="D7" s="14" t="inlineStr">
        <is>
          <t>Claim the London listing (knowledge panel shows "unclaimed"), fix category (Concierge service, not Travel agency), add services, photos, Q&amp;A; ask members/partners for reviews to move 4.2 (29) to 4.8 (60+). Create verified NY and Miami listings if there is a real address.</t>
        </is>
      </c>
      <c r="E7" s="14" t="inlineStr">
        <is>
          <t>Month 1</t>
        </is>
      </c>
      <c r="F7" s="14" t="inlineStr">
        <is>
          <t>Local pack shows on "luxury concierge london" and "concierge service london"; reviews are an AI ingredient; SC's listing has no rating at all.</t>
        </is>
      </c>
      <c r="G7" s="14" t="inlineStr">
        <is>
          <t>High</t>
        </is>
      </c>
    </row>
    <row r="8">
      <c r="A8" s="5" t="inlineStr">
        <is>
          <t>7</t>
        </is>
      </c>
      <c r="B8" s="5" t="inlineStr">
        <is>
          <t>On-site link magnets (works with the existing PR specialist)</t>
        </is>
      </c>
      <c r="C8" s="5" t="inlineStr">
        <is>
          <t>Digital PR support</t>
        </is>
      </c>
      <c r="D8" s="5" t="inlineStr">
        <is>
          <t>Expand /access to 25-30 venue pages (members clubs, restaurants, hotels) across London, NY, Miami, Dubai, Paris: they already earn 55% of KC traffic and rank top 3 for Oswald's, 5 Hertford Street, Maxime's. Add a yearly "State of Ultra-Luxury Concierge" report or "Most Exclusive Members Clubs" index with data, an embeddable table and a press angle; a membership cost benchmark (KC vs Quintessentially vs SC vs Velocity Black) that journalists and AI answers cite.</t>
        </is>
      </c>
      <c r="E8" s="5" t="inlineStr">
        <is>
          <t>Months 2-6</t>
        </is>
      </c>
      <c r="F8" s="5" t="inlineStr">
        <is>
          <t>Gives the PR specialist linkable assets; feeds the listicles (Tatler, JustLuxe, Luxury London) that AI answers draw on.</t>
        </is>
      </c>
      <c r="G8" s="5" t="inlineStr">
        <is>
          <t>Medium</t>
        </is>
      </c>
    </row>
    <row r="9">
      <c r="A9" s="5" t="inlineStr">
        <is>
          <t>8</t>
        </is>
      </c>
      <c r="B9" s="5" t="inlineStr">
        <is>
          <t>Monthly AI visibility tracking</t>
        </is>
      </c>
      <c r="C9" s="5" t="inlineStr">
        <is>
          <t>AI visibility</t>
        </is>
      </c>
      <c r="D9" s="5" t="inlineStr">
        <is>
          <t>Run the prompt panel (AI Visibility tab) monthly across ChatGPT, Gemini, Perplexity and Google AI Mode for US and UK; report mentions, citations and the sources named; feed gaps back into content.</t>
        </is>
      </c>
      <c r="E9" s="5" t="inlineStr">
        <is>
          <t>Ongoing</t>
        </is>
      </c>
      <c r="F9" s="5" t="inlineStr">
        <is>
          <t>Ahrefs Brand Radar is not on the current plan; a manual panel is the honest baseline.</t>
        </is>
      </c>
      <c r="G9" s="5" t="inlineStr">
        <is>
          <t>Medium</t>
        </is>
      </c>
    </row>
    <row r="10">
      <c r="A10" s="5" t="inlineStr">
        <is>
          <t>9</t>
        </is>
      </c>
      <c r="B10" s="5" t="inlineStr">
        <is>
          <t>LinkedIn programme (outsourced delivery, TenTerms strategy)</t>
        </is>
      </c>
      <c r="C10" s="5" t="inlineStr">
        <is>
          <t>LinkedIn</t>
        </is>
      </c>
      <c r="D10" s="5" t="inlineStr">
        <is>
          <t>Two tracks: company page (2 posts/week: access wins, city guides, membership explainers) and founder-led (Stuart McNeill: 1 long-form post/week on what UHNW clients actually ask for, plus the same "how we charge / who we serve" themes as the AI content). Target: 4,737 to 12,000 followers in 12 months. Add the LinkedIn Insight Tag first.</t>
        </is>
      </c>
      <c r="E10" s="5" t="inlineStr">
        <is>
          <t>Months 1-12</t>
        </is>
      </c>
      <c r="F10" s="5" t="inlineStr">
        <is>
          <t>SC has 31k followers and a founder who is the media entity; KC's posts are hotel news. Same content calendar as the SEO/AI programme, so marginal cost is low.</t>
        </is>
      </c>
      <c r="G10" s="5" t="inlineStr">
        <is>
          <t>Medium</t>
        </is>
      </c>
    </row>
    <row r="11">
      <c r="A11" s="5" t="inlineStr">
        <is>
          <t>10</t>
        </is>
      </c>
      <c r="B11" s="5" t="inlineStr">
        <is>
          <t>Paid search: small, exact-match, US-led</t>
        </is>
      </c>
      <c r="C11" s="5" t="inlineStr">
        <is>
          <t>Paid (outsourced management)</t>
        </is>
      </c>
      <c r="D11" s="5" t="inlineStr">
        <is>
          <t>Google Ads on exact/phrase: luxury concierge service, luxury travel concierge, luxury lifestyle concierge, private concierge, luxury concierge {nyc/miami/los angeles/london}, plus brand defence (SC bids on Quintessentially's brand; expect the same on KC). CPCs $1.30-3.00; ~$1,500-2,500/month media. Landing pages = the rebuilt hub and service pages.</t>
        </is>
      </c>
      <c r="E11" s="5" t="inlineStr">
        <is>
          <t>Month 2 onwards (after tracking)</t>
        </is>
      </c>
      <c r="F11" s="5" t="inlineStr">
        <is>
          <t>Immediate presence on the head terms while pages climb; $55k membership value makes even one member per quarter pay back.</t>
        </is>
      </c>
      <c r="G11" s="5" t="inlineStr">
        <is>
          <t>Medium</t>
        </is>
      </c>
    </row>
    <row r="12">
      <c r="A12" s="5" t="inlineStr">
        <is>
          <t>11</t>
        </is>
      </c>
      <c r="B12" s="5" t="inlineStr">
        <is>
          <t>CRM and pipeline</t>
        </is>
      </c>
      <c r="C12" s="5" t="inlineStr">
        <is>
          <t>CRM build</t>
        </is>
      </c>
      <c r="D12" s="5" t="inlineStr">
        <is>
          <t>Route the application form into a CRM (HubSpot Starter or Pipedrive) with source capture (UTM, landing page), stages (applied, reviewed, interview, accepted), automated acknowledgement and a monthly source report. Connect GA4 form events. Later: LinkedIn lead forms and ads conversions.</t>
        </is>
      </c>
      <c r="E12" s="5" t="inlineStr">
        <is>
          <t>Months 1-2</t>
        </is>
      </c>
      <c r="F12" s="5" t="inlineStr">
        <is>
          <t>Nothing on the site today beyond GTM and Crisp chat; without this, no channel can be attributed and the size-of-prize stays an estimate.</t>
        </is>
      </c>
      <c r="G12" s="5" t="inlineStr">
        <is>
          <t>Medium</t>
        </is>
      </c>
    </row>
    <row r="13">
      <c r="A13" s="5" t="inlineStr">
        <is>
          <t>12</t>
        </is>
      </c>
      <c r="B13" s="5" t="inlineStr">
        <is>
          <t>Measurement</t>
        </is>
      </c>
      <c r="C13" s="5" t="inlineStr">
        <is>
          <t>All</t>
        </is>
      </c>
      <c r="D13" s="5" t="inlineStr">
        <is>
          <t>Baseline now: GSC queries/pages, GA4 conversions, GBP insights, LinkedIn analytics, AI prompt panel. Re-pull at 8 and 16 weeks. Success = KC page 1 on the 10 US head terms, top 3 on London terms, AI citations at parity with SC (120+), 60+ Google reviews, 10k LinkedIn followers.</t>
        </is>
      </c>
      <c r="E13" s="5" t="inlineStr">
        <is>
          <t>Ongoing</t>
        </is>
      </c>
      <c r="F13" s="5" t="inlineStr"/>
      <c r="G13" s="5" t="inlineStr">
        <is>
          <t>Medium</t>
        </is>
      </c>
    </row>
  </sheetData>
  <autoFilter ref="A1:G13"/>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D11"/>
  <sheetViews>
    <sheetView workbookViewId="0">
      <pane ySplit="1" topLeftCell="A2" activePane="bottomLeft" state="frozen"/>
      <selection pane="bottomLeft" activeCell="A1" sqref="A1"/>
    </sheetView>
  </sheetViews>
  <sheetFormatPr baseColWidth="8" defaultRowHeight="15"/>
  <cols>
    <col width="22" customWidth="1" min="1" max="1"/>
    <col width="70" customWidth="1" min="2" max="2"/>
    <col width="70" customWidth="1" min="3" max="3"/>
    <col width="10" customWidth="1" min="4" max="4"/>
  </cols>
  <sheetData>
    <row r="1">
      <c r="A1" s="4" t="inlineStr">
        <is>
          <t>Source</t>
        </is>
      </c>
      <c r="B1" s="4" t="inlineStr">
        <is>
          <t>What we need</t>
        </is>
      </c>
      <c r="C1" s="4" t="inlineStr">
        <is>
          <t>Why</t>
        </is>
      </c>
      <c r="D1" s="4" t="inlineStr">
        <is>
          <t>Priority</t>
        </is>
      </c>
    </row>
    <row r="2">
      <c r="A2" s="14" t="inlineStr">
        <is>
          <t>GSC</t>
        </is>
      </c>
      <c r="B2" s="14" t="inlineStr">
        <is>
          <t>Queries + Pages exports, last 16 months, plus the Cannibalisation report; property-level (www) and, if it exists, the old flat-URL data</t>
        </is>
      </c>
      <c r="C2" s="14" t="inlineStr">
        <is>
          <t>Only source of real impressions/CTR per location page; proves the Jan-Jul 2026 growth and where near-miss pages (pos 8-20) sit</t>
        </is>
      </c>
      <c r="D2" s="14" t="inlineStr">
        <is>
          <t>Critical</t>
        </is>
      </c>
    </row>
    <row r="3">
      <c r="A3" s="14" t="inlineStr">
        <is>
          <t>GA4</t>
        </is>
      </c>
      <c r="B3" s="14" t="inlineStr">
        <is>
          <t>Sessions, engaged sessions and form submissions by source/medium and landing page, Jan 2025 to date; the 'Apply' form event if configured</t>
        </is>
      </c>
      <c r="C3" s="14" t="inlineStr">
        <is>
          <t>Converts traffic into applications; today only GTM is present so conversion tracking may not exist</t>
        </is>
      </c>
      <c r="D3" s="14" t="inlineStr">
        <is>
          <t>Critical</t>
        </is>
      </c>
    </row>
    <row r="4">
      <c r="A4" s="14" t="inlineStr">
        <is>
          <t>Applications / enquiries</t>
        </is>
      </c>
      <c r="B4" s="14" t="inlineStr">
        <is>
          <t>Monthly count of applications, calls and emails, with source if known; acceptance rate; average first-year membership value</t>
        </is>
      </c>
      <c r="C4" s="14" t="inlineStr">
        <is>
          <t>Size-of-prize maths: from $55k/yr + $25k joining, one member funds years of retainer</t>
        </is>
      </c>
      <c r="D4" s="14" t="inlineStr">
        <is>
          <t>Critical</t>
        </is>
      </c>
    </row>
    <row r="5">
      <c r="A5" s="5" t="inlineStr">
        <is>
          <t>Google Business Profile</t>
        </is>
      </c>
      <c r="B5" s="5" t="inlineStr">
        <is>
          <t>Confirm who owns the London listing (knowledge panel says 'unclaimed'); grant manager access; any US listings</t>
        </is>
      </c>
      <c r="C5" s="5" t="inlineStr">
        <is>
          <t>Local pack on 'luxury concierge london' / 'concierge service london'; reviews ingredient for AI answers</t>
        </is>
      </c>
      <c r="D5" s="5" t="inlineStr">
        <is>
          <t>High</t>
        </is>
      </c>
    </row>
    <row r="6">
      <c r="A6" s="5" t="inlineStr">
        <is>
          <t>LinkedIn Page admin</t>
        </is>
      </c>
      <c r="B6" s="5" t="inlineStr">
        <is>
          <t>Follower growth, post impressions/engagement last 12 months; who posts; whether Stuart McNeill's profile is in scope</t>
        </is>
      </c>
      <c r="C6" s="5" t="inlineStr">
        <is>
          <t>Baseline for a LinkedIn service; decide company page vs founder-led</t>
        </is>
      </c>
      <c r="D6" s="5" t="inlineStr">
        <is>
          <t>High</t>
        </is>
      </c>
    </row>
    <row r="7">
      <c r="A7" s="5" t="inlineStr">
        <is>
          <t>PR specialist</t>
        </is>
      </c>
      <c r="B7" s="5" t="inlineStr">
        <is>
          <t>List of coverage secured last 24 months with URLs; upcoming pipeline</t>
        </is>
      </c>
      <c r="C7" s="5" t="inlineStr">
        <is>
          <t>We map existing press into link + AI-citation assets rather than duplicating their work</t>
        </is>
      </c>
      <c r="D7" s="5" t="inlineStr">
        <is>
          <t>High</t>
        </is>
      </c>
    </row>
    <row r="8">
      <c r="A8" s="5" t="inlineStr">
        <is>
          <t>CRM / pipeline</t>
        </is>
      </c>
      <c r="B8" s="5" t="inlineStr">
        <is>
          <t>How applications are received and tracked today (email? spreadsheet? the WordPress form only?); who follows up; any existing CRM licence</t>
        </is>
      </c>
      <c r="C8" s="5" t="inlineStr">
        <is>
          <t>Scopes a CRM build and connects marketing to closed members</t>
        </is>
      </c>
      <c r="D8" s="5" t="inlineStr">
        <is>
          <t>Medium</t>
        </is>
      </c>
    </row>
    <row r="9">
      <c r="A9" s="5" t="inlineStr">
        <is>
          <t>Ads</t>
        </is>
      </c>
      <c r="B9" s="5" t="inlineStr">
        <is>
          <t>Confirm no active Google/LinkedIn Ads; any historical account</t>
        </is>
      </c>
      <c r="C9" s="5" t="inlineStr">
        <is>
          <t>Baseline for a paid proposal</t>
        </is>
      </c>
      <c r="D9" s="5" t="inlineStr">
        <is>
          <t>Medium</t>
        </is>
      </c>
    </row>
    <row r="10">
      <c r="A10" s="5" t="inlineStr">
        <is>
          <t>Sport &amp; Entertainment entity</t>
        </is>
      </c>
      <c r="B10" s="5" t="inlineStr">
        <is>
          <t>What Knightsbridge Circle Sport &amp; Entertainment Ltd (Mar 2026) and KC Group Ltd (Jul 2026) are for; any new site or sub-brand planned</t>
        </is>
      </c>
      <c r="C10" s="5" t="inlineStr">
        <is>
          <t>Avoid a second domain splitting authority; plan pages on the main domain</t>
        </is>
      </c>
      <c r="D10" s="5" t="inlineStr">
        <is>
          <t>Medium</t>
        </is>
      </c>
    </row>
    <row r="11">
      <c r="A11" s="5" t="inlineStr">
        <is>
          <t>Member proof</t>
        </is>
      </c>
      <c r="B11" s="5" t="inlineStr">
        <is>
          <t>Which press quotes, testimonials and case stories can be used on-site; any anonymised member outcomes</t>
        </is>
      </c>
      <c r="C11" s="5" t="inlineStr">
        <is>
          <t>Content for about/press/testimonial pages that AI answers can cite</t>
        </is>
      </c>
      <c r="D11" s="5" t="inlineStr">
        <is>
          <t>Medium</t>
        </is>
      </c>
    </row>
  </sheetData>
  <autoFilter ref="A1:D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2026-09-02T09:38:37Z</dcterms:created>
  <dcterms:modified xsi:type="dcterms:W3CDTF">2026-09-02T09:38:37Z</dcterms:modified>
</cp:coreProperties>
</file>